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PMTT EC\ECWasteManagement_Ver1.0.0_20250327\Debug\Template\BienBanChungTu\"/>
    </mc:Choice>
  </mc:AlternateContent>
  <xr:revisionPtr revIDLastSave="0" documentId="13_ncr:1_{EE5159D0-1F86-429C-B5D3-552C61AE0D7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BB RÁC THÔNG THƯỜNG THUẬN THÀNH" sheetId="2" r:id="rId1"/>
  </sheets>
  <definedNames>
    <definedName name="_xlnm.Print_Area" localSheetId="0">'BB RÁC THÔNG THƯỜNG THUẬN THÀNH'!$A$1:$J$36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7" i="2" l="1"/>
  <c r="N4" i="2" l="1"/>
  <c r="Q4" i="2"/>
  <c r="S4" i="2" s="1"/>
  <c r="R4" i="2"/>
  <c r="T4" i="2" l="1"/>
</calcChain>
</file>

<file path=xl/sharedStrings.xml><?xml version="1.0" encoding="utf-8"?>
<sst xmlns="http://schemas.openxmlformats.org/spreadsheetml/2006/main" count="88" uniqueCount="71">
  <si>
    <t>Bên nhận</t>
  </si>
  <si>
    <t>Bên giao</t>
  </si>
  <si>
    <t xml:space="preserve">Bắc Ninh ,   ngày    tháng    năm  </t>
  </si>
  <si>
    <t>4. Bên giao, Bên nhận xác nhận đã thống nhất để kê khai chính xác các thông tin ở mục 1-3</t>
  </si>
  <si>
    <t>Tổng khối lượng</t>
  </si>
  <si>
    <t>Kg</t>
  </si>
  <si>
    <t>Gỗ</t>
  </si>
  <si>
    <t xml:space="preserve">Mép thừa bản mạch     </t>
  </si>
  <si>
    <t xml:space="preserve">Mép thừa bản mạch    </t>
  </si>
  <si>
    <t xml:space="preserve">Mép thừa bản mạch   </t>
  </si>
  <si>
    <t xml:space="preserve">Mép thừa bản mạch  </t>
  </si>
  <si>
    <t>Mép thừa bản mạch</t>
  </si>
  <si>
    <t>Găng tay cao su sạch đã qua sử dụng</t>
  </si>
  <si>
    <t>Phế liệu rìa mép băng dán sản xuất nẹp tăng cứng</t>
  </si>
  <si>
    <t>Dây chì</t>
  </si>
  <si>
    <t>Phế liệu Niken</t>
  </si>
  <si>
    <t>Mũi khoan NC NG</t>
  </si>
  <si>
    <t>lần</t>
  </si>
  <si>
    <t>Thông tắc đường ống nước thải</t>
  </si>
  <si>
    <t>Bùn từ hệ thống xử lý nước thải sinh hoạt, bể phốt, bể mỡ</t>
  </si>
  <si>
    <t>Rác công nghiệp không nhiễm thành phần nguy hại</t>
  </si>
  <si>
    <t>Rác sinh hoạt</t>
  </si>
  <si>
    <t>Ghi chú</t>
  </si>
  <si>
    <t>Biển số xe vận chuyển</t>
  </si>
  <si>
    <t>Khối lượng</t>
  </si>
  <si>
    <t>ĐVT</t>
  </si>
  <si>
    <t>Các loại chất thải</t>
  </si>
  <si>
    <t>STT</t>
  </si>
  <si>
    <t>3. Khối lượng: CTRSH, CTRCN chuyển giao</t>
  </si>
  <si>
    <t xml:space="preserve">ĐT: </t>
  </si>
  <si>
    <t>ỉ cơ sở: Lô 49B,  Khu công nghiệp Quang Minh, tt Chi Đông, huyện Mê Linh, TP. Hà Nội</t>
  </si>
  <si>
    <t>F4</t>
  </si>
  <si>
    <t>ỉ cơ sở: Lô M4,  Khu công nghiệp Thăng Long, xã Võng La, huyện Đông Anh, TP. Hà Nội</t>
  </si>
  <si>
    <t>F2</t>
  </si>
  <si>
    <t>Năm</t>
  </si>
  <si>
    <t>ỉ cơ sở: Nhà máy số 22,23,24 Lô P-1A,  KCN Thăng Long, xã Võng La, huyện Đông Anh, TP. Hà Nội</t>
  </si>
  <si>
    <t>F3</t>
  </si>
  <si>
    <t>Tháng</t>
  </si>
  <si>
    <t>Ngày</t>
  </si>
  <si>
    <t>Nhà máy</t>
  </si>
  <si>
    <t>Chuyến số</t>
  </si>
  <si>
    <t xml:space="preserve">Bắc Ninh </t>
  </si>
  <si>
    <t>ỉ cơ sở: Lô C6, Khu công nghiệp Thăng Long, xã Võng La, huyện Đông Anh, Tp. Hà Nội</t>
  </si>
  <si>
    <t>F1</t>
  </si>
  <si>
    <t>Hà Nội,</t>
  </si>
  <si>
    <t>f1</t>
  </si>
  <si>
    <t xml:space="preserve"> SEEV-TT-</t>
  </si>
  <si>
    <t>Số:</t>
  </si>
  <si>
    <t xml:space="preserve">           HÀ NỘI</t>
  </si>
  <si>
    <t>BIÊN BẢN BÀN GIAO CTRSH, CTRCN</t>
  </si>
  <si>
    <t xml:space="preserve">       THÀNH PHỐ</t>
  </si>
  <si>
    <t xml:space="preserve">2.Bên nhận: </t>
  </si>
  <si>
    <t>1.Bên giao:</t>
  </si>
  <si>
    <t>*Ten_cong_ty_ben_giao*</t>
  </si>
  <si>
    <t>Địa chỉ Văn phòng:</t>
  </si>
  <si>
    <t>*Dia_chi_van_phong_ben_giao*</t>
  </si>
  <si>
    <t xml:space="preserve">Địa chỉ cơ sở:  </t>
  </si>
  <si>
    <t>*Dia_chi_co_so_ben_giao*</t>
  </si>
  <si>
    <t>*Ten_cong_ty_ben_nhan*</t>
  </si>
  <si>
    <t>Địa chỉ văn phòng:</t>
  </si>
  <si>
    <t xml:space="preserve">Địa chỉ cơ sở: </t>
  </si>
  <si>
    <t>*Dia_chi_co_so_ben_nhan*</t>
  </si>
  <si>
    <t>*Dia_chi_van_phong_ben_nhan*</t>
  </si>
  <si>
    <t>*Sdt_vp_ben_giao*</t>
  </si>
  <si>
    <t>*Sdt_vp_ben_nhan*</t>
  </si>
  <si>
    <t>*Sdt_cs_ben_nhan*</t>
  </si>
  <si>
    <t>*Sdt_cs_ben_giao*</t>
  </si>
  <si>
    <t>*Khoi_luong*</t>
  </si>
  <si>
    <t>*Bien_so_xe*</t>
  </si>
  <si>
    <t>*So_TT*</t>
  </si>
  <si>
    <t>Hà Nội,  *ngay_thang_nam*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</si>
</sst>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6"/>
      <name val="Times New Roman"/>
      <family val="1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b/>
      <sz val="22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" fillId="0" borderId="15" xfId="0" applyFont="1" applyBorder="1"/>
    <xf numFmtId="0" fontId="1" fillId="0" borderId="16" xfId="0" quotePrefix="1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/>
    </xf>
    <xf numFmtId="0" fontId="1" fillId="0" borderId="20" xfId="0" quotePrefix="1" applyFont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2" borderId="25" xfId="0" applyFont="1" applyFill="1" applyBorder="1" applyAlignment="1" applyProtection="1">
      <alignment horizontal="center" vertical="center"/>
      <protection locked="0"/>
    </xf>
    <xf numFmtId="14" fontId="1" fillId="0" borderId="0" xfId="0" applyNumberFormat="1" applyFont="1" applyProtection="1">
      <protection locked="0"/>
    </xf>
    <xf numFmtId="0" fontId="4" fillId="0" borderId="27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0" fillId="0" borderId="6" xfId="0" applyFont="1" applyBorder="1" applyAlignment="1">
      <alignment horizontal="left"/>
    </xf>
    <xf numFmtId="0" fontId="1" fillId="0" borderId="24" xfId="0" applyFont="1" applyBorder="1"/>
    <xf numFmtId="0" fontId="1" fillId="0" borderId="23" xfId="0" applyFont="1" applyBorder="1"/>
    <xf numFmtId="0" fontId="1" fillId="0" borderId="14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horizontal="right" vertical="center"/>
    </xf>
    <xf numFmtId="164" fontId="6" fillId="0" borderId="16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4" xfId="0" applyFont="1" applyBorder="1" applyAlignment="1">
      <alignment vertical="top" wrapText="1"/>
    </xf>
    <xf numFmtId="0" fontId="1" fillId="0" borderId="9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3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3" borderId="14" xfId="0" quotePrefix="1" applyFont="1" applyFill="1" applyBorder="1" applyAlignment="1">
      <alignment horizontal="center" vertical="center"/>
    </xf>
    <xf numFmtId="0" fontId="11" fillId="3" borderId="11" xfId="0" quotePrefix="1" applyFont="1" applyFill="1" applyBorder="1" applyAlignment="1">
      <alignment horizontal="center" vertical="center"/>
    </xf>
    <xf numFmtId="0" fontId="11" fillId="3" borderId="13" xfId="0" quotePrefix="1" applyFont="1" applyFill="1" applyBorder="1" applyAlignment="1">
      <alignment horizontal="center" vertical="center"/>
    </xf>
    <xf numFmtId="0" fontId="3" fillId="0" borderId="21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7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9" xfId="0" applyFont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1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1" fillId="0" borderId="9" xfId="0" quotePrefix="1" applyFont="1" applyBorder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8" xfId="0" quotePrefix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4" fillId="0" borderId="17" xfId="0" quotePrefix="1" applyFont="1" applyBorder="1" applyAlignment="1">
      <alignment horizontal="left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15" xfId="0" quotePrefix="1" applyFont="1" applyBorder="1" applyAlignment="1">
      <alignment horizontal="left" vertical="center"/>
    </xf>
    <xf numFmtId="0" fontId="2" fillId="0" borderId="12" xfId="0" quotePrefix="1" applyFont="1" applyBorder="1" applyAlignment="1">
      <alignment horizontal="center" vertical="center"/>
    </xf>
    <xf numFmtId="0" fontId="2" fillId="0" borderId="11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534520</xdr:colOff>
      <xdr:row>4</xdr:row>
      <xdr:rowOff>18490</xdr:rowOff>
    </xdr:from>
    <xdr:to>
      <xdr:col>11</xdr:col>
      <xdr:colOff>744070</xdr:colOff>
      <xdr:row>4</xdr:row>
      <xdr:rowOff>313765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 rot="10800000">
          <a:off x="7240120" y="780490"/>
          <a:ext cx="76200" cy="171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447114</xdr:colOff>
      <xdr:row>4</xdr:row>
      <xdr:rowOff>36419</xdr:rowOff>
    </xdr:from>
    <xdr:to>
      <xdr:col>12</xdr:col>
      <xdr:colOff>656664</xdr:colOff>
      <xdr:row>5</xdr:row>
      <xdr:rowOff>8965</xdr:rowOff>
    </xdr:to>
    <xdr:sp macro="" textlink="">
      <xdr:nvSpPr>
        <xdr:cNvPr id="3" name="Arrow: Down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10800000">
          <a:off x="7762314" y="798419"/>
          <a:ext cx="161925" cy="1630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424702</xdr:colOff>
      <xdr:row>4</xdr:row>
      <xdr:rowOff>18489</xdr:rowOff>
    </xdr:from>
    <xdr:to>
      <xdr:col>14</xdr:col>
      <xdr:colOff>634252</xdr:colOff>
      <xdr:row>4</xdr:row>
      <xdr:rowOff>313764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 rot="10800000">
          <a:off x="8959102" y="780489"/>
          <a:ext cx="180975" cy="1714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285749</xdr:colOff>
      <xdr:row>4</xdr:row>
      <xdr:rowOff>36419</xdr:rowOff>
    </xdr:from>
    <xdr:to>
      <xdr:col>15</xdr:col>
      <xdr:colOff>495299</xdr:colOff>
      <xdr:row>5</xdr:row>
      <xdr:rowOff>8965</xdr:rowOff>
    </xdr:to>
    <xdr:sp macro="" textlink="">
      <xdr:nvSpPr>
        <xdr:cNvPr id="5" name="Arrow: Down 3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 rot="10800000">
          <a:off x="9429749" y="798419"/>
          <a:ext cx="209550" cy="16304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411255</xdr:colOff>
      <xdr:row>4</xdr:row>
      <xdr:rowOff>9525</xdr:rowOff>
    </xdr:from>
    <xdr:to>
      <xdr:col>23</xdr:col>
      <xdr:colOff>620805</xdr:colOff>
      <xdr:row>4</xdr:row>
      <xdr:rowOff>304800</xdr:rowOff>
    </xdr:to>
    <xdr:sp macro="" textlink="">
      <xdr:nvSpPr>
        <xdr:cNvPr id="6" name="Arrow: Down 3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 rot="10800000">
          <a:off x="14432055" y="771525"/>
          <a:ext cx="200025" cy="18097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X36"/>
  <sheetViews>
    <sheetView tabSelected="1" zoomScale="85" zoomScaleNormal="85" workbookViewId="0">
      <selection activeCell="AA6" sqref="AA6"/>
    </sheetView>
  </sheetViews>
  <sheetFormatPr defaultColWidth="9.1796875" defaultRowHeight="15.5" x14ac:dyDescent="0.35"/>
  <cols>
    <col min="1" max="1" width="21.54296875" style="3" customWidth="1"/>
    <col min="2" max="2" width="15.453125" style="3" customWidth="1"/>
    <col min="3" max="3" width="3.7265625" style="3" customWidth="1"/>
    <col min="4" max="4" width="6.453125" style="3" customWidth="1"/>
    <col min="5" max="5" width="3.81640625" style="3" customWidth="1"/>
    <col min="6" max="6" width="5" style="3" customWidth="1"/>
    <col min="7" max="7" width="7.54296875" style="3" customWidth="1"/>
    <col min="8" max="8" width="21.54296875" style="3" customWidth="1"/>
    <col min="9" max="9" width="15.453125" style="4" customWidth="1"/>
    <col min="10" max="10" width="20.81640625" style="3" customWidth="1"/>
    <col min="11" max="11" width="9.1796875" style="1"/>
    <col min="12" max="12" width="18" style="1" hidden="1" customWidth="1"/>
    <col min="13" max="13" width="15" style="1" hidden="1" customWidth="1"/>
    <col min="14" max="14" width="8.1796875" style="2" hidden="1" customWidth="1"/>
    <col min="15" max="15" width="12.7265625" style="1" hidden="1" customWidth="1"/>
    <col min="16" max="16" width="11.26953125" style="1" hidden="1" customWidth="1"/>
    <col min="17" max="17" width="10.7265625" style="1" hidden="1" customWidth="1"/>
    <col min="18" max="18" width="4.7265625" style="1" hidden="1" customWidth="1"/>
    <col min="19" max="19" width="136.453125" style="1" hidden="1" customWidth="1"/>
    <col min="20" max="20" width="5.81640625" style="1" hidden="1" customWidth="1"/>
    <col min="21" max="22" width="9.1796875" style="1" hidden="1" customWidth="1"/>
    <col min="23" max="23" width="8.1796875" style="1" hidden="1" customWidth="1"/>
    <col min="24" max="24" width="14.7265625" style="1" hidden="1" customWidth="1"/>
    <col min="25" max="31" width="9.1796875" style="1" customWidth="1"/>
    <col min="32" max="16384" width="9.1796875" style="1"/>
  </cols>
  <sheetData>
    <row r="1" spans="1:24" s="7" customFormat="1" ht="15" x14ac:dyDescent="0.3">
      <c r="A1" s="54" t="s">
        <v>50</v>
      </c>
      <c r="B1" s="55"/>
      <c r="C1" s="24"/>
      <c r="D1" s="24"/>
      <c r="E1" s="24"/>
      <c r="F1" s="24"/>
      <c r="G1" s="56" t="s">
        <v>49</v>
      </c>
      <c r="H1" s="56"/>
      <c r="I1" s="56"/>
      <c r="J1" s="57"/>
      <c r="N1" s="8"/>
    </row>
    <row r="2" spans="1:24" s="7" customFormat="1" ht="15" x14ac:dyDescent="0.3">
      <c r="A2" s="58" t="s">
        <v>48</v>
      </c>
      <c r="B2" s="59"/>
      <c r="C2" s="25"/>
      <c r="D2" s="25"/>
      <c r="E2" s="25"/>
      <c r="F2" s="25"/>
      <c r="G2" s="25"/>
      <c r="H2" s="26" t="s">
        <v>47</v>
      </c>
      <c r="I2" s="27" t="s">
        <v>46</v>
      </c>
      <c r="J2" s="28" t="s">
        <v>69</v>
      </c>
      <c r="N2" s="8"/>
    </row>
    <row r="3" spans="1:24" ht="6" customHeight="1" thickBot="1" x14ac:dyDescent="0.4">
      <c r="A3" s="29"/>
      <c r="B3" s="30"/>
      <c r="G3" s="60"/>
      <c r="H3" s="60"/>
      <c r="I3" s="60"/>
      <c r="J3" s="61"/>
    </row>
    <row r="4" spans="1:24" ht="30" customHeight="1" thickBot="1" x14ac:dyDescent="0.4">
      <c r="A4" s="31" t="s">
        <v>52</v>
      </c>
      <c r="B4" s="62" t="s">
        <v>53</v>
      </c>
      <c r="C4" s="62"/>
      <c r="D4" s="62"/>
      <c r="E4" s="62"/>
      <c r="F4" s="62"/>
      <c r="G4" s="62"/>
      <c r="H4" s="62"/>
      <c r="I4" s="62"/>
      <c r="J4" s="63"/>
      <c r="L4" s="22">
        <v>2</v>
      </c>
      <c r="M4" s="22" t="s">
        <v>45</v>
      </c>
      <c r="N4" s="2" t="str">
        <f>L4&amp;"_"&amp;O4&amp;"_"&amp;P4</f>
        <v>2_16_10</v>
      </c>
      <c r="O4" s="22">
        <v>16</v>
      </c>
      <c r="P4" s="22">
        <v>10</v>
      </c>
      <c r="Q4" s="23">
        <f ca="1">TODAY()</f>
        <v>45745</v>
      </c>
      <c r="R4" s="1">
        <f>O4</f>
        <v>16</v>
      </c>
      <c r="S4" s="1">
        <f ca="1">MONTH(Q4)</f>
        <v>3</v>
      </c>
      <c r="T4" s="1">
        <f ca="1">YEAR(Q4)</f>
        <v>2025</v>
      </c>
      <c r="W4" s="1" t="s">
        <v>44</v>
      </c>
      <c r="X4" s="22">
        <v>2024</v>
      </c>
    </row>
    <row r="5" spans="1:24" ht="34.5" customHeight="1" x14ac:dyDescent="0.35">
      <c r="A5" s="41" t="s">
        <v>54</v>
      </c>
      <c r="B5" s="46" t="s">
        <v>55</v>
      </c>
      <c r="C5" s="46"/>
      <c r="D5" s="46"/>
      <c r="E5" s="46"/>
      <c r="F5" s="46"/>
      <c r="G5" s="46"/>
      <c r="H5" s="46"/>
      <c r="I5" s="32" t="s">
        <v>29</v>
      </c>
      <c r="J5" s="33" t="s">
        <v>63</v>
      </c>
      <c r="R5" s="1" t="s">
        <v>43</v>
      </c>
      <c r="S5" s="1" t="s">
        <v>42</v>
      </c>
      <c r="W5" s="1" t="s">
        <v>41</v>
      </c>
    </row>
    <row r="6" spans="1:24" ht="40.5" customHeight="1" x14ac:dyDescent="0.35">
      <c r="A6" s="42" t="s">
        <v>56</v>
      </c>
      <c r="B6" s="45" t="s">
        <v>57</v>
      </c>
      <c r="C6" s="45"/>
      <c r="D6" s="45"/>
      <c r="E6" s="45"/>
      <c r="F6" s="45"/>
      <c r="G6" s="45"/>
      <c r="H6" s="45"/>
      <c r="I6" s="32" t="s">
        <v>29</v>
      </c>
      <c r="J6" s="34" t="s">
        <v>66</v>
      </c>
      <c r="L6" s="20" t="s">
        <v>40</v>
      </c>
      <c r="M6" s="20" t="s">
        <v>39</v>
      </c>
      <c r="N6" s="21"/>
      <c r="O6" s="20" t="s">
        <v>38</v>
      </c>
      <c r="P6" s="20" t="s">
        <v>37</v>
      </c>
      <c r="Q6" s="20" t="s">
        <v>34</v>
      </c>
      <c r="R6" s="20" t="s">
        <v>36</v>
      </c>
      <c r="S6" s="20" t="s">
        <v>35</v>
      </c>
      <c r="T6" s="20"/>
      <c r="U6" s="20"/>
      <c r="V6" s="20"/>
      <c r="W6" s="20"/>
      <c r="X6" s="20" t="s">
        <v>34</v>
      </c>
    </row>
    <row r="7" spans="1:24" ht="25.5" customHeight="1" x14ac:dyDescent="0.35">
      <c r="A7" s="38" t="s">
        <v>51</v>
      </c>
      <c r="B7" s="53" t="s">
        <v>58</v>
      </c>
      <c r="C7" s="53"/>
      <c r="D7" s="53"/>
      <c r="E7" s="53"/>
      <c r="F7" s="53"/>
      <c r="G7" s="53"/>
      <c r="H7" s="53"/>
      <c r="I7" s="39"/>
      <c r="J7" s="40"/>
      <c r="R7" s="1" t="s">
        <v>33</v>
      </c>
      <c r="S7" s="1" t="s">
        <v>32</v>
      </c>
    </row>
    <row r="8" spans="1:24" ht="25.5" customHeight="1" x14ac:dyDescent="0.35">
      <c r="A8" s="43" t="s">
        <v>59</v>
      </c>
      <c r="B8" s="46" t="s">
        <v>62</v>
      </c>
      <c r="C8" s="46"/>
      <c r="D8" s="46"/>
      <c r="E8" s="46"/>
      <c r="F8" s="46"/>
      <c r="G8" s="46"/>
      <c r="H8" s="46"/>
      <c r="I8" s="32" t="s">
        <v>29</v>
      </c>
      <c r="J8" s="33" t="s">
        <v>64</v>
      </c>
      <c r="R8" s="1" t="s">
        <v>31</v>
      </c>
      <c r="S8" s="1" t="s">
        <v>30</v>
      </c>
    </row>
    <row r="9" spans="1:24" ht="25.5" customHeight="1" x14ac:dyDescent="0.35">
      <c r="A9" s="44" t="s">
        <v>60</v>
      </c>
      <c r="B9" s="45" t="s">
        <v>61</v>
      </c>
      <c r="C9" s="45"/>
      <c r="D9" s="45"/>
      <c r="E9" s="45"/>
      <c r="F9" s="45"/>
      <c r="G9" s="45"/>
      <c r="H9" s="45"/>
      <c r="I9" s="35" t="s">
        <v>29</v>
      </c>
      <c r="J9" s="34" t="s">
        <v>65</v>
      </c>
    </row>
    <row r="10" spans="1:24" ht="25.5" customHeight="1" x14ac:dyDescent="0.35">
      <c r="A10" s="19" t="s">
        <v>28</v>
      </c>
      <c r="B10" s="18"/>
      <c r="C10" s="18"/>
      <c r="D10" s="18"/>
      <c r="E10" s="18"/>
      <c r="F10" s="18"/>
      <c r="G10" s="18"/>
      <c r="H10" s="18"/>
      <c r="I10" s="92"/>
      <c r="J10" s="93"/>
    </row>
    <row r="11" spans="1:24" ht="35.25" customHeight="1" x14ac:dyDescent="0.35">
      <c r="A11" s="17" t="s">
        <v>27</v>
      </c>
      <c r="B11" s="94" t="s">
        <v>26</v>
      </c>
      <c r="C11" s="95"/>
      <c r="D11" s="95"/>
      <c r="E11" s="95"/>
      <c r="F11" s="96"/>
      <c r="G11" s="16" t="s">
        <v>25</v>
      </c>
      <c r="H11" s="16" t="s">
        <v>24</v>
      </c>
      <c r="I11" s="15" t="s">
        <v>23</v>
      </c>
      <c r="J11" s="14" t="s">
        <v>22</v>
      </c>
    </row>
    <row r="12" spans="1:24" ht="27.75" customHeight="1" x14ac:dyDescent="0.35">
      <c r="A12" s="13">
        <v>1</v>
      </c>
      <c r="B12" s="50" t="s">
        <v>21</v>
      </c>
      <c r="C12" s="51"/>
      <c r="D12" s="51"/>
      <c r="E12" s="51"/>
      <c r="F12" s="52"/>
      <c r="G12" s="12" t="s">
        <v>5</v>
      </c>
      <c r="H12" s="36" t="s">
        <v>67</v>
      </c>
      <c r="I12" s="37" t="s">
        <v>68</v>
      </c>
      <c r="J12" s="9"/>
    </row>
    <row r="13" spans="1:24" ht="44.25" customHeight="1" x14ac:dyDescent="0.35">
      <c r="A13" s="13">
        <v>2</v>
      </c>
      <c r="B13" s="50" t="s">
        <v>20</v>
      </c>
      <c r="C13" s="51"/>
      <c r="D13" s="51"/>
      <c r="E13" s="51"/>
      <c r="F13" s="52"/>
      <c r="G13" s="12" t="s">
        <v>5</v>
      </c>
      <c r="H13" s="36"/>
      <c r="I13" s="37"/>
      <c r="J13" s="9"/>
    </row>
    <row r="14" spans="1:24" ht="47.25" customHeight="1" x14ac:dyDescent="0.35">
      <c r="A14" s="13">
        <v>3</v>
      </c>
      <c r="B14" s="50" t="s">
        <v>19</v>
      </c>
      <c r="C14" s="51"/>
      <c r="D14" s="51"/>
      <c r="E14" s="51"/>
      <c r="F14" s="52"/>
      <c r="G14" s="12" t="s">
        <v>5</v>
      </c>
      <c r="H14" s="36"/>
      <c r="I14" s="37"/>
      <c r="J14" s="9"/>
    </row>
    <row r="15" spans="1:24" ht="27.75" customHeight="1" x14ac:dyDescent="0.35">
      <c r="A15" s="13">
        <v>4</v>
      </c>
      <c r="B15" s="50" t="s">
        <v>18</v>
      </c>
      <c r="C15" s="51"/>
      <c r="D15" s="51"/>
      <c r="E15" s="51"/>
      <c r="F15" s="52"/>
      <c r="G15" s="12" t="s">
        <v>17</v>
      </c>
      <c r="H15" s="36"/>
      <c r="I15" s="37"/>
      <c r="J15" s="9"/>
    </row>
    <row r="16" spans="1:24" ht="27.75" customHeight="1" x14ac:dyDescent="0.35">
      <c r="A16" s="13">
        <v>5</v>
      </c>
      <c r="B16" s="50" t="s">
        <v>16</v>
      </c>
      <c r="C16" s="51"/>
      <c r="D16" s="51"/>
      <c r="E16" s="51"/>
      <c r="F16" s="52"/>
      <c r="G16" s="12" t="s">
        <v>5</v>
      </c>
      <c r="H16" s="36"/>
      <c r="I16" s="37"/>
      <c r="J16" s="9"/>
    </row>
    <row r="17" spans="1:14" ht="27.75" customHeight="1" x14ac:dyDescent="0.35">
      <c r="A17" s="13">
        <v>6</v>
      </c>
      <c r="B17" s="50" t="s">
        <v>15</v>
      </c>
      <c r="C17" s="51"/>
      <c r="D17" s="51"/>
      <c r="E17" s="51"/>
      <c r="F17" s="52"/>
      <c r="G17" s="12" t="s">
        <v>5</v>
      </c>
      <c r="H17" s="36"/>
      <c r="I17" s="37"/>
      <c r="J17" s="9"/>
    </row>
    <row r="18" spans="1:14" ht="27.75" customHeight="1" x14ac:dyDescent="0.35">
      <c r="A18" s="13">
        <v>7</v>
      </c>
      <c r="B18" s="50" t="s">
        <v>14</v>
      </c>
      <c r="C18" s="51"/>
      <c r="D18" s="51"/>
      <c r="E18" s="51"/>
      <c r="F18" s="52"/>
      <c r="G18" s="12" t="s">
        <v>5</v>
      </c>
      <c r="H18" s="36"/>
      <c r="I18" s="37"/>
      <c r="J18" s="9"/>
    </row>
    <row r="19" spans="1:14" ht="36" customHeight="1" x14ac:dyDescent="0.35">
      <c r="A19" s="13">
        <v>8</v>
      </c>
      <c r="B19" s="50" t="s">
        <v>13</v>
      </c>
      <c r="C19" s="51"/>
      <c r="D19" s="51"/>
      <c r="E19" s="51"/>
      <c r="F19" s="52"/>
      <c r="G19" s="12" t="s">
        <v>5</v>
      </c>
      <c r="H19" s="36"/>
      <c r="I19" s="37"/>
      <c r="J19" s="9"/>
    </row>
    <row r="20" spans="1:14" ht="27.75" customHeight="1" x14ac:dyDescent="0.35">
      <c r="A20" s="13">
        <v>9</v>
      </c>
      <c r="B20" s="50" t="s">
        <v>12</v>
      </c>
      <c r="C20" s="51"/>
      <c r="D20" s="51"/>
      <c r="E20" s="51"/>
      <c r="F20" s="52"/>
      <c r="G20" s="12" t="s">
        <v>5</v>
      </c>
      <c r="H20" s="36"/>
      <c r="I20" s="37"/>
      <c r="J20" s="9"/>
    </row>
    <row r="21" spans="1:14" ht="27.75" customHeight="1" x14ac:dyDescent="0.35">
      <c r="A21" s="13">
        <v>10</v>
      </c>
      <c r="B21" s="50" t="s">
        <v>11</v>
      </c>
      <c r="C21" s="51"/>
      <c r="D21" s="51"/>
      <c r="E21" s="51"/>
      <c r="F21" s="52"/>
      <c r="G21" s="12" t="s">
        <v>5</v>
      </c>
      <c r="H21" s="36"/>
      <c r="I21" s="37"/>
      <c r="J21" s="9"/>
    </row>
    <row r="22" spans="1:14" ht="27.75" customHeight="1" x14ac:dyDescent="0.35">
      <c r="A22" s="13">
        <v>11</v>
      </c>
      <c r="B22" s="50" t="s">
        <v>10</v>
      </c>
      <c r="C22" s="51"/>
      <c r="D22" s="51"/>
      <c r="E22" s="51"/>
      <c r="F22" s="52"/>
      <c r="G22" s="12" t="s">
        <v>5</v>
      </c>
      <c r="H22" s="36"/>
      <c r="I22" s="37"/>
      <c r="J22" s="9"/>
    </row>
    <row r="23" spans="1:14" ht="27.75" customHeight="1" x14ac:dyDescent="0.35">
      <c r="A23" s="13">
        <v>12</v>
      </c>
      <c r="B23" s="50" t="s">
        <v>9</v>
      </c>
      <c r="C23" s="51"/>
      <c r="D23" s="51"/>
      <c r="E23" s="51"/>
      <c r="F23" s="52"/>
      <c r="G23" s="12" t="s">
        <v>5</v>
      </c>
      <c r="H23" s="36"/>
      <c r="I23" s="37"/>
      <c r="J23" s="9"/>
    </row>
    <row r="24" spans="1:14" ht="27.75" customHeight="1" x14ac:dyDescent="0.35">
      <c r="A24" s="13">
        <v>13</v>
      </c>
      <c r="B24" s="50" t="s">
        <v>8</v>
      </c>
      <c r="C24" s="51"/>
      <c r="D24" s="51"/>
      <c r="E24" s="51"/>
      <c r="F24" s="52"/>
      <c r="G24" s="12" t="s">
        <v>5</v>
      </c>
      <c r="H24" s="36"/>
      <c r="I24" s="37"/>
      <c r="J24" s="9"/>
    </row>
    <row r="25" spans="1:14" ht="27.75" customHeight="1" x14ac:dyDescent="0.35">
      <c r="A25" s="13">
        <v>14</v>
      </c>
      <c r="B25" s="50" t="s">
        <v>7</v>
      </c>
      <c r="C25" s="51"/>
      <c r="D25" s="51"/>
      <c r="E25" s="51"/>
      <c r="F25" s="52"/>
      <c r="G25" s="12" t="s">
        <v>5</v>
      </c>
      <c r="H25" s="36"/>
      <c r="I25" s="37"/>
      <c r="J25" s="9"/>
    </row>
    <row r="26" spans="1:14" ht="27.75" customHeight="1" x14ac:dyDescent="0.35">
      <c r="A26" s="13">
        <v>15</v>
      </c>
      <c r="B26" s="50" t="s">
        <v>6</v>
      </c>
      <c r="C26" s="51"/>
      <c r="D26" s="51"/>
      <c r="E26" s="51"/>
      <c r="F26" s="52"/>
      <c r="G26" s="12" t="s">
        <v>5</v>
      </c>
      <c r="H26" s="36"/>
      <c r="I26" s="37"/>
      <c r="J26" s="9"/>
    </row>
    <row r="27" spans="1:14" ht="27.75" customHeight="1" x14ac:dyDescent="0.35">
      <c r="A27" s="77" t="s">
        <v>4</v>
      </c>
      <c r="B27" s="78"/>
      <c r="C27" s="78"/>
      <c r="D27" s="78"/>
      <c r="E27" s="78"/>
      <c r="F27" s="78"/>
      <c r="G27" s="79"/>
      <c r="H27" s="11">
        <f>SUM(H12:H26)</f>
        <v>0</v>
      </c>
      <c r="I27" s="10"/>
      <c r="J27" s="9"/>
    </row>
    <row r="28" spans="1:14" s="7" customFormat="1" ht="22.5" customHeight="1" x14ac:dyDescent="0.3">
      <c r="A28" s="80" t="s">
        <v>3</v>
      </c>
      <c r="B28" s="81"/>
      <c r="C28" s="81"/>
      <c r="D28" s="81"/>
      <c r="E28" s="81"/>
      <c r="F28" s="81"/>
      <c r="G28" s="81"/>
      <c r="H28" s="81"/>
      <c r="I28" s="81"/>
      <c r="J28" s="82"/>
      <c r="N28" s="8"/>
    </row>
    <row r="29" spans="1:14" ht="20.25" customHeight="1" x14ac:dyDescent="0.35">
      <c r="A29" s="47" t="s">
        <v>70</v>
      </c>
      <c r="B29" s="48"/>
      <c r="C29" s="48"/>
      <c r="D29" s="48"/>
      <c r="E29" s="48"/>
      <c r="F29" s="48"/>
      <c r="G29" s="49"/>
      <c r="H29" s="83" t="s">
        <v>2</v>
      </c>
      <c r="I29" s="84"/>
      <c r="J29" s="85"/>
    </row>
    <row r="30" spans="1:14" ht="20.25" customHeight="1" x14ac:dyDescent="0.35">
      <c r="A30" s="86" t="s">
        <v>1</v>
      </c>
      <c r="B30" s="87"/>
      <c r="C30" s="87"/>
      <c r="D30" s="87"/>
      <c r="E30" s="87"/>
      <c r="F30" s="87"/>
      <c r="G30" s="88"/>
      <c r="H30" s="89" t="s">
        <v>0</v>
      </c>
      <c r="I30" s="90"/>
      <c r="J30" s="91"/>
    </row>
    <row r="31" spans="1:14" ht="22.5" customHeight="1" x14ac:dyDescent="0.35">
      <c r="A31" s="64"/>
      <c r="B31" s="65"/>
      <c r="C31" s="65"/>
      <c r="D31" s="65"/>
      <c r="E31" s="65"/>
      <c r="F31" s="65"/>
      <c r="G31" s="66"/>
      <c r="H31" s="70"/>
      <c r="I31" s="71"/>
      <c r="J31" s="72"/>
    </row>
    <row r="32" spans="1:14" ht="35.25" customHeight="1" x14ac:dyDescent="0.35">
      <c r="A32" s="64"/>
      <c r="B32" s="65"/>
      <c r="C32" s="65"/>
      <c r="D32" s="65"/>
      <c r="E32" s="65"/>
      <c r="F32" s="65"/>
      <c r="G32" s="66"/>
      <c r="H32" s="70"/>
      <c r="I32" s="71"/>
      <c r="J32" s="72"/>
    </row>
    <row r="33" spans="1:10" x14ac:dyDescent="0.35">
      <c r="A33" s="64"/>
      <c r="B33" s="65"/>
      <c r="C33" s="65"/>
      <c r="D33" s="65"/>
      <c r="E33" s="65"/>
      <c r="F33" s="65"/>
      <c r="G33" s="66"/>
      <c r="H33" s="70"/>
      <c r="I33" s="71"/>
      <c r="J33" s="72"/>
    </row>
    <row r="34" spans="1:10" ht="11.25" customHeight="1" x14ac:dyDescent="0.35">
      <c r="A34" s="64"/>
      <c r="B34" s="65"/>
      <c r="C34" s="65"/>
      <c r="D34" s="65"/>
      <c r="E34" s="65"/>
      <c r="F34" s="65"/>
      <c r="G34" s="66"/>
      <c r="H34" s="70"/>
      <c r="I34" s="71"/>
      <c r="J34" s="72"/>
    </row>
    <row r="35" spans="1:10" ht="16" thickBot="1" x14ac:dyDescent="0.4">
      <c r="A35" s="67"/>
      <c r="B35" s="68"/>
      <c r="C35" s="68"/>
      <c r="D35" s="68"/>
      <c r="E35" s="68"/>
      <c r="F35" s="68"/>
      <c r="G35" s="69"/>
      <c r="H35" s="73"/>
      <c r="I35" s="74"/>
      <c r="J35" s="75"/>
    </row>
    <row r="36" spans="1:10" x14ac:dyDescent="0.35">
      <c r="A36" s="76"/>
      <c r="B36" s="76"/>
      <c r="C36" s="6"/>
      <c r="D36" s="6"/>
      <c r="E36" s="6"/>
      <c r="F36" s="6"/>
      <c r="G36" s="5"/>
      <c r="H36" s="76"/>
      <c r="I36" s="76"/>
      <c r="J36" s="5"/>
    </row>
  </sheetData>
  <sheetProtection autoFilter="0"/>
  <mergeCells count="37">
    <mergeCell ref="I10:J10"/>
    <mergeCell ref="B16:F16"/>
    <mergeCell ref="B17:F17"/>
    <mergeCell ref="B18:F18"/>
    <mergeCell ref="B19:F19"/>
    <mergeCell ref="B11:F11"/>
    <mergeCell ref="B12:F12"/>
    <mergeCell ref="B13:F13"/>
    <mergeCell ref="B14:F14"/>
    <mergeCell ref="A31:G35"/>
    <mergeCell ref="H31:J35"/>
    <mergeCell ref="A36:B36"/>
    <mergeCell ref="H36:I36"/>
    <mergeCell ref="A27:G27"/>
    <mergeCell ref="A28:J28"/>
    <mergeCell ref="H29:J29"/>
    <mergeCell ref="A30:G30"/>
    <mergeCell ref="H30:J30"/>
    <mergeCell ref="A1:B1"/>
    <mergeCell ref="G1:J1"/>
    <mergeCell ref="A2:B2"/>
    <mergeCell ref="G3:J3"/>
    <mergeCell ref="B5:H5"/>
    <mergeCell ref="B4:J4"/>
    <mergeCell ref="B6:H6"/>
    <mergeCell ref="B8:H8"/>
    <mergeCell ref="B9:H9"/>
    <mergeCell ref="A29:G29"/>
    <mergeCell ref="B15:F15"/>
    <mergeCell ref="B26:F26"/>
    <mergeCell ref="B21:F21"/>
    <mergeCell ref="B22:F22"/>
    <mergeCell ref="B23:F23"/>
    <mergeCell ref="B24:F24"/>
    <mergeCell ref="B25:F25"/>
    <mergeCell ref="B7:H7"/>
    <mergeCell ref="B20:F20"/>
  </mergeCells>
  <pageMargins left="0.57999999999999996" right="0.41" top="0.75" bottom="0.75" header="0.3" footer="0.3"/>
  <pageSetup paperSize="9" scale="8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 RÁC THÔNG THƯỜNG THUẬN THÀNH</vt:lpstr>
      <vt:lpstr>'BB RÁC THÔNG THƯỜNG THUẬN THÀNH'!Print_Area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Đàn</dc:creator>
  <cp:lastModifiedBy>Tran Trung Hieu 01450</cp:lastModifiedBy>
  <dcterms:created xsi:type="dcterms:W3CDTF">2025-02-11T08:18:11Z</dcterms:created>
  <dcterms:modified xsi:type="dcterms:W3CDTF">2025-03-29T03:08:05Z</dcterms:modified>
</cp:coreProperties>
</file>