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BienBanChungTu\"/>
    </mc:Choice>
  </mc:AlternateContent>
  <bookViews>
    <workbookView xWindow="0" yWindow="0" windowWidth="28800" windowHeight="12480"/>
  </bookViews>
  <sheets>
    <sheet name="BB RÁC NGUY HẠI THUẬN THÀNH" sheetId="2" r:id="rId1"/>
  </sheets>
  <externalReferences>
    <externalReference r:id="rId2"/>
  </externalReferences>
  <definedNames>
    <definedName name="_xlnm.Print_Area" localSheetId="0">'BB RÁC NGUY HẠI THUẬN THÀNH'!$A$1:$M$47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<sst xmlns="http://schemas.openxmlformats.org/spreadsheetml/2006/main" count="123" uniqueCount="123">
  <si>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Công ty Cổ Phần Môi Trường Thuận Thành</t>
  </si>
  <si>
    <t>Khu phố Ngọc Khám, phường Gia Đông, thị xã Thuận Thành, tỉnh Bắc Ninh</t>
  </si>
  <si>
    <t>BIÊN BẢN GIAO NHẬN CHẤT THẢI</t>
  </si>
  <si>
    <t>NGÀY</t>
  </si>
  <si>
    <t>THÁNG</t>
  </si>
  <si>
    <t>NĂM</t>
  </si>
  <si>
    <t>NHÀ MÁY</t>
  </si>
  <si>
    <t>Chủ nguồn thải: Công ty TNHH Linh kiện điện tử SEI(Việt Nam)</t>
  </si>
  <si>
    <t>f1</t>
  </si>
  <si>
    <t xml:space="preserve">Lô C6, KCN Thăng Long, Đông Anh, Hà Nội  </t>
  </si>
  <si>
    <t>Lô C6, KCN Thăng Long, xã Võng La, huyện Đông Anh, Tp Hà Nội</t>
  </si>
  <si>
    <t>Số: ……..</t>
  </si>
  <si>
    <t>Ngày: 11/02/2025</t>
  </si>
  <si>
    <t>f2</t>
  </si>
  <si>
    <t xml:space="preserve">Lô M4, KCN Thăng Long, Đông Anh, Hà Nội  </t>
  </si>
  <si>
    <t>f3</t>
  </si>
  <si>
    <t>Nhà máy số 22,23,24 Lô P-1A, KCN Thăng Long, Đông Anh, Hà Nội</t>
  </si>
  <si>
    <t>STT</t>
  </si>
  <si>
    <t>Danh mục</t>
  </si>
  <si>
    <t>ĐVT</t>
  </si>
  <si>
    <t>Mã CTNH</t>
  </si>
  <si>
    <t xml:space="preserve">Khối
lượng</t>
  </si>
  <si>
    <t>Xe vận chuyển</t>
  </si>
  <si>
    <t>Tính chất</t>
  </si>
  <si>
    <t>Trạng thái</t>
  </si>
  <si>
    <t>Ghi chú</t>
  </si>
  <si>
    <t>f4</t>
  </si>
  <si>
    <t xml:space="preserve">Lô 49B, KCN Quang Minh, Mê Linh, Hà Nội </t>
  </si>
  <si>
    <t>I</t>
  </si>
  <si>
    <t>Chất thải</t>
  </si>
  <si>
    <t>1</t>
  </si>
  <si>
    <t>Nước thải từ quá trình mạ điện</t>
  </si>
  <si>
    <t>Kg</t>
  </si>
  <si>
    <t>07 02 03</t>
  </si>
  <si>
    <t>2</t>
  </si>
  <si>
    <t>Nước thải từ quá trình mạ điện (CuSO4)</t>
  </si>
  <si>
    <t>3</t>
  </si>
  <si>
    <t>Hộp mực in thải có thành phần nguy hại</t>
  </si>
  <si>
    <t>08 02 04</t>
  </si>
  <si>
    <t xml:space="preserve"> </t>
  </si>
  <si>
    <t>4</t>
  </si>
  <si>
    <t>Chất thải lây nhiễm</t>
  </si>
  <si>
    <t>13 01 01</t>
  </si>
  <si>
    <t>5</t>
  </si>
  <si>
    <t>Bóng đèn huỳnh quang thải</t>
  </si>
  <si>
    <t>16 01 06</t>
  </si>
  <si>
    <t>6</t>
  </si>
  <si>
    <t>Thùng can bao bì cứng thải bằng kim loại</t>
  </si>
  <si>
    <t>18 01 02</t>
  </si>
  <si>
    <t>7</t>
  </si>
  <si>
    <t>Thùng can bao bì cứng thải bằng nhựa</t>
  </si>
  <si>
    <t>18 01 03</t>
  </si>
  <si>
    <t>8</t>
  </si>
  <si>
    <t>Bao bì cứng bằng các vật liệu khác (Composit, thủy tinh,…) thải</t>
  </si>
  <si>
    <t>18 01 04</t>
  </si>
  <si>
    <t>9</t>
  </si>
  <si>
    <t>Chất thải có chứa bạc từ quá trình xử lý phim ảnh</t>
  </si>
  <si>
    <t>19 01 06</t>
  </si>
  <si>
    <t>10</t>
  </si>
  <si>
    <t>Các thiết bị, bộ phận, linh kiện điện tử thải (trừ bản mạch điện tử không chứa các thành phần nguy hại vượt ngưỡng CTNH)</t>
  </si>
  <si>
    <t>19 02 06</t>
  </si>
  <si>
    <t>11</t>
  </si>
  <si>
    <t>Pin, ắc quy thải</t>
  </si>
  <si>
    <t>19 06 01</t>
  </si>
  <si>
    <t>12</t>
  </si>
  <si>
    <t>Dung dịch Cromat thải</t>
  </si>
  <si>
    <t>19 09 02</t>
  </si>
  <si>
    <t>13</t>
  </si>
  <si>
    <t>Các loại chất thải khác có thành phần nguy hại (lõi lọc)</t>
  </si>
  <si>
    <t>18 02 01</t>
  </si>
  <si>
    <t>14</t>
  </si>
  <si>
    <t>Các loại chất thải khác có thành phần nguy hại (bã phim)</t>
  </si>
  <si>
    <t>19 12 03</t>
  </si>
  <si>
    <t>15</t>
  </si>
  <si>
    <t>Bùn vô cơ từ hệ thống xử lý nước thải dây chuyền mạ</t>
  </si>
  <si>
    <t>12 06 05</t>
  </si>
  <si>
    <t>16</t>
  </si>
  <si>
    <t>Bùn hữu cơ từ hệ thống xử lý nước thải dây chuyền mạ</t>
  </si>
  <si>
    <t>17</t>
  </si>
  <si>
    <t>Axit tẩy thải(HNO3, pH&lt;2)</t>
  </si>
  <si>
    <t>07 01 01</t>
  </si>
  <si>
    <t>18</t>
  </si>
  <si>
    <t>Dung dịch (CuCl2, pH&lt;2)</t>
  </si>
  <si>
    <t>19</t>
  </si>
  <si>
    <t>Nước thải từ quá trình mạ điện (Nicl2 thải pH&lt;2)</t>
  </si>
  <si>
    <t>20</t>
  </si>
  <si>
    <t>Dầu thải từ thiết bị tách dầu/nước</t>
  </si>
  <si>
    <t>17 05 04</t>
  </si>
  <si>
    <t>21</t>
  </si>
  <si>
    <t>Dầu thủy lực thải</t>
  </si>
  <si>
    <t>17 01 07</t>
  </si>
  <si>
    <t>22</t>
  </si>
  <si>
    <t>Dầu động cơ, hộp số bôi trơn thải</t>
  </si>
  <si>
    <t>17 02 04</t>
  </si>
  <si>
    <t>23</t>
  </si>
  <si>
    <t>Nhựa trao đổi ion đã qua sử dụng trong quá trình XLNT</t>
  </si>
  <si>
    <t>12 06 01</t>
  </si>
  <si>
    <t>24</t>
  </si>
  <si>
    <t>Bùn xử lý nước thải chứa H2O2</t>
  </si>
  <si>
    <t>25</t>
  </si>
  <si>
    <t>Các chất thải khác có chứa thành phần nguy hại (Javen, Kleankem, Unifresh thải)</t>
  </si>
  <si>
    <t>26</t>
  </si>
  <si>
    <t>Nước thải bazo ( Lonox 5314, 5611)</t>
  </si>
  <si>
    <t>27</t>
  </si>
  <si>
    <t>Chất thải từ quá trình rửa, làm sạch bề mặt</t>
  </si>
  <si>
    <t>28</t>
  </si>
  <si>
    <t>Chất hấp thụ, vật liệu lọc, giẻ lau, găng tay dính dầu mỡ, dính mực</t>
  </si>
  <si>
    <t>29</t>
  </si>
  <si>
    <t>Chất thải FPC</t>
  </si>
  <si>
    <t>30</t>
  </si>
  <si>
    <t>Cát thải từ hệ thống xử lý nước</t>
  </si>
  <si>
    <t>31</t>
  </si>
  <si>
    <t>Hóa chất và hỗn hợp hóa chất phòng thí nghiệm thải có các thành phần nguy hại</t>
  </si>
  <si>
    <t>32</t>
  </si>
  <si>
    <t>Các chất CFC, HCFC, HFC thải</t>
  </si>
  <si>
    <t>33</t>
  </si>
  <si>
    <t>Hóa chất vô cơ thải bao gồm hoặc có các thành phần nguy hại (Solder thải)</t>
  </si>
  <si>
    <t>158.00</t>
  </si>
  <si>
    <t>18AE1234</t>
  </si>
  <si>
    <t>Chủ nguồn thải phải chịu trách nhiệm về chủng loại chất thải bàn giao trên.</t>
  </si>
  <si>
    <t>ĐẠI DIỆN BÊN GIAO</t>
  </si>
  <si>
    <t>ĐẠI DIỆN BÊN NHẬN</t>
  </si>
  <si>
    <t>(Ký &amp;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</si>
</sst>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36"/>
      <color theme="1"/>
      <name val="Times New Roman"/>
      <family val="1"/>
    </font>
    <font>
      <sz val="10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66">
    <xf numFmtId="0" fontId="0" fillId="0" borderId="0" xfId="0"/>
    <xf numFmtId="0" fontId="2" applyFont="1" fillId="2" applyFill="1" borderId="0" xfId="0" applyAlignment="1">
      <alignment horizontal="left" vertical="center"/>
    </xf>
    <xf numFmtId="0" fontId="3" applyFont="1" fillId="0" borderId="0" xfId="0"/>
    <xf numFmtId="164" applyNumberFormat="1" fontId="4" applyFont="1" fillId="0" borderId="0" xfId="1" applyProtection="1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5" applyFont="1" fillId="3" applyFill="1" borderId="1" applyBorder="1" xfId="0" applyProtection="1" applyAlignment="1">
      <alignment horizontal="center" vertical="center"/>
      <protection locked="0"/>
    </xf>
    <xf numFmtId="0" fontId="3" applyFont="1" fillId="0" borderId="1" applyBorder="1" xfId="0" applyProtection="1" applyAlignment="1">
      <alignment horizontal="center"/>
      <protection locked="0"/>
    </xf>
    <xf numFmtId="0" fontId="6" applyFont="1" fillId="2" applyFill="1" borderId="0" xfId="0" applyAlignment="1">
      <alignment horizontal="left"/>
    </xf>
    <xf numFmtId="1" applyNumberFormat="1" fontId="3" applyFont="1" fillId="0" borderId="0" xfId="0" applyProtection="1" applyAlignment="1">
      <alignment horizontal="center"/>
      <protection locked="0"/>
    </xf>
    <xf numFmtId="0" fontId="3" applyFont="1" fillId="0" borderId="0" xfId="0" applyProtection="1" applyAlignment="1">
      <alignment horizontal="center"/>
      <protection locked="0"/>
    </xf>
    <xf numFmtId="0" fontId="7" applyFont="1" fillId="0" borderId="0" xfId="0" applyAlignment="1">
      <alignment horizontal="center" vertical="center"/>
    </xf>
    <xf numFmtId="1" applyNumberFormat="1" fontId="8" applyFont="1" fillId="0" borderId="0" xfId="0" applyProtection="1" applyAlignment="1">
      <alignment horizontal="center" vertical="center"/>
      <protection locked="0"/>
    </xf>
    <xf numFmtId="0" fontId="8" applyFont="1" fillId="0" borderId="0" xfId="0" applyProtection="1" applyAlignment="1">
      <alignment horizontal="center" vertical="center"/>
      <protection locked="0"/>
    </xf>
    <xf numFmtId="0" fontId="9" applyFont="1" fillId="0" borderId="0" xfId="0" applyAlignment="1">
      <alignment horizontal="left" vertical="center" wrapText="1"/>
    </xf>
    <xf numFmtId="0" fontId="3" applyFont="1" fillId="0" borderId="0" xfId="0" applyProtection="1" applyAlignment="1">
      <protection locked="0"/>
    </xf>
    <xf numFmtId="0" fontId="4" applyFont="1" fillId="0" borderId="1" applyBorder="1" xfId="0" applyProtection="1" applyAlignment="1">
      <alignment horizontal="center" vertical="center"/>
      <protection locked="0"/>
    </xf>
    <xf numFmtId="0" fontId="10" applyFont="1" fillId="0" borderId="0" xfId="0"/>
    <xf numFmtId="0" fontId="11" applyFont="1" fillId="2" applyFill="1" borderId="0" xfId="0"/>
    <xf numFmtId="0" fontId="12" applyFont="1" fillId="0" borderId="0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 wrapText="1"/>
    </xf>
    <xf numFmtId="0" fontId="13" applyFont="1" fillId="0" borderId="4" applyBorder="1" xfId="0" applyAlignment="1">
      <alignment horizontal="center" vertical="center" wrapText="1"/>
    </xf>
    <xf numFmtId="0" fontId="13" applyFont="1" fillId="0" borderId="5" applyBorder="1" xfId="0" applyAlignment="1">
      <alignment horizontal="center" vertical="center" wrapText="1"/>
    </xf>
    <xf numFmtId="0" fontId="13" applyFont="1" fillId="0" borderId="6" applyBorder="1" xfId="0" applyAlignment="1">
      <alignment horizontal="center" vertical="center" wrapText="1"/>
    </xf>
    <xf numFmtId="0" fontId="14" applyFont="1" fillId="4" applyFill="1" borderId="7" applyBorder="1" xfId="0" applyAlignment="1">
      <alignment horizontal="center" vertical="center"/>
    </xf>
    <xf numFmtId="0" fontId="14" applyFont="1" fillId="4" applyFill="1" borderId="1" applyBorder="1" xfId="0" applyAlignment="1">
      <alignment horizontal="center"/>
    </xf>
    <xf numFmtId="0" fontId="3" applyFont="1" fillId="4" applyFill="1" borderId="1" applyBorder="1" xfId="0"/>
    <xf numFmtId="164" applyNumberFormat="1" fontId="4" applyFont="1" fillId="4" applyFill="1" borderId="1" applyBorder="1" xfId="1" applyProtection="1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3" applyFont="1" fillId="4" applyFill="1" borderId="8" applyBorder="1" xfId="0" applyAlignment="1">
      <alignment horizontal="center" vertical="center"/>
    </xf>
    <xf numFmtId="0" fontId="3" applyFont="1" fillId="4" applyFill="1" borderId="9" applyBorder="1" xfId="0" applyAlignment="1">
      <alignment horizontal="center" vertical="center"/>
    </xf>
    <xf numFmtId="0" fontId="3" applyFont="1" fillId="4" applyFill="1" borderId="10" applyBorder="1" xfId="0" applyAlignment="1">
      <alignment horizontal="center" vertical="center"/>
    </xf>
    <xf numFmtId="0" fontId="3" applyFont="1" fillId="4" applyFill="1" borderId="11" applyBorder="1" xfId="0" applyAlignment="1">
      <alignment horizontal="center" vertical="center"/>
    </xf>
    <xf numFmtId="0" fontId="3" applyFont="1" fillId="0" borderId="7" applyBorder="1" xfId="0" quotePrefix="1" applyAlignment="1">
      <alignment horizontal="center" vertical="center"/>
    </xf>
    <xf numFmtId="0" fontId="10" applyFont="1" fillId="5" applyFill="1" borderId="1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 wrapText="1"/>
    </xf>
    <xf numFmtId="0" fontId="16" applyFont="1" fillId="0" borderId="8" applyBorder="1" xfId="0" applyAlignment="1">
      <alignment horizontal="center" vertical="center"/>
    </xf>
    <xf numFmtId="0" fontId="16" applyFont="1" fillId="0" borderId="9" applyBorder="1" xfId="0" applyAlignment="1">
      <alignment horizontal="center" vertical="center"/>
    </xf>
    <xf numFmtId="0" fontId="16" applyFont="1" fillId="0" borderId="10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1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 wrapText="1"/>
    </xf>
    <xf numFmtId="0" fontId="10" applyFont="1" fillId="5" applyFill="1" borderId="12" applyBorder="1" xfId="0" applyAlignment="1">
      <alignment horizontal="center" vertical="center"/>
    </xf>
    <xf numFmtId="0" fontId="6" applyFont="1" fillId="0" borderId="12" applyBorder="1" xfId="0" applyAlignment="1">
      <alignment horizontal="center" vertical="center" wrapText="1"/>
    </xf>
    <xf numFmtId="0" fontId="16" applyFont="1" fillId="0" borderId="13" applyBorder="1" xfId="0" applyAlignment="1">
      <alignment horizontal="center" vertical="center"/>
    </xf>
    <xf numFmtId="0" fontId="16" applyFont="1" fillId="0" borderId="14" applyBorder="1" xfId="0" applyAlignment="1">
      <alignment horizontal="center" vertical="center"/>
    </xf>
    <xf numFmtId="0" fontId="16" applyFont="1" fillId="0" borderId="15" applyBorder="1" xfId="0" applyAlignment="1">
      <alignment horizontal="center" vertical="center"/>
    </xf>
    <xf numFmtId="0" fontId="3" applyFont="1" fillId="0" borderId="13" applyBorder="1" xfId="0" applyAlignment="1">
      <alignment horizontal="center" vertical="center"/>
    </xf>
    <xf numFmtId="0" fontId="3" applyFont="1" fillId="0" borderId="15" applyBorder="1" xfId="0" applyAlignment="1">
      <alignment horizontal="center" vertical="center"/>
    </xf>
    <xf numFmtId="0" fontId="3" applyFont="1" fillId="0" borderId="16" applyBorder="1" xfId="0" applyAlignment="1">
      <alignment horizontal="center" vertical="center"/>
    </xf>
    <xf numFmtId="0" fontId="3" applyFont="1" fillId="0" borderId="17" applyBorder="1" xfId="0" applyAlignment="1">
      <alignment horizontal="center" vertical="center"/>
    </xf>
    <xf numFmtId="0" fontId="17" applyFont="1" fillId="0" borderId="0" xfId="0"/>
    <xf numFmtId="0" fontId="9" applyFont="1" fillId="0" borderId="0" xfId="0" applyAlignment="1">
      <alignment horizontal="center" vertical="center"/>
    </xf>
    <xf numFmtId="0" fontId="3" applyFont="1" fillId="0" borderId="18" applyBorder="1" xfId="0" applyAlignment="1">
      <alignment horizontal="center" vertical="center"/>
    </xf>
    <xf numFmtId="0" fontId="9" applyFont="1" fillId="0" borderId="0" xfId="0" applyAlignment="1">
      <alignment horizontal="center" vertical="center"/>
    </xf>
    <xf numFmtId="0" fontId="9" applyFont="1" fillId="0" borderId="0" xfId="0"/>
    <xf numFmtId="0" fontId="17" applyFont="1" fillId="0" borderId="0" xfId="0" applyAlignment="1">
      <alignment horizontal="center" vertical="center"/>
    </xf>
    <xf numFmtId="0" fontId="17" applyFont="1" fillId="0" borderId="0" xfId="0" applyAlignment="1">
      <alignment horizontal="center" vertical="center"/>
    </xf>
    <xf numFmtId="164" applyNumberFormat="1" fontId="15" applyFont="1" fillId="0" applyFill="1" borderId="1" applyBorder="1" xfId="1" applyProtection="1" applyAlignment="1">
      <alignment horizontal="center" vertical="center"/>
    </xf>
    <xf numFmtId="0" fontId="16" applyFont="1" fillId="0" applyFill="1" borderId="1" applyBorder="1" xfId="0" applyAlignment="1">
      <alignment horizontal="center" vertical="center"/>
    </xf>
    <xf numFmtId="164" applyNumberFormat="1" fontId="15" applyFont="1" fillId="0" applyFill="1" borderId="1" applyBorder="1" xfId="1" quotePrefix="1" applyProtection="1" applyAlignment="1">
      <alignment horizontal="center" vertical="center"/>
    </xf>
    <xf numFmtId="0" fontId="18" applyFont="1" fillId="0" borderId="0" xfId="0" applyAlignment="1">
      <alignment horizontal="left" vertical="center"/>
    </xf>
    <xf numFmtId="164" applyNumberFormat="1" fontId="3" applyFont="1" fillId="0" applyFill="1" borderId="12" applyBorder="1" xfId="1" applyProtection="1" applyAlignment="1">
      <alignment horizontal="center" vertical="center"/>
    </xf>
    <xf numFmtId="0" fontId="3" applyFont="1" fillId="0" applyFill="1" borderId="12" applyBorder="1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457199</xdr:colOff>
      <xdr:row>1</xdr:row>
      <xdr:rowOff>24493</xdr:rowOff>
    </xdr:from>
    <xdr:to>
      <xdr:col>18</xdr:col>
      <xdr:colOff>742949</xdr:colOff>
      <xdr:row>2</xdr:row>
      <xdr:rowOff>21771</xdr:rowOff>
    </xdr:to>
    <xdr:sp macro="" textlink="">
      <xdr:nvSpPr>
        <xdr:cNvPr id="2" name="Arrow: Down 7">
          <a:extLst>
            <a:ext uri="{FF2B5EF4-FFF2-40B4-BE49-F238E27FC236}">
              <a16:creationId xmlns:a16="http://schemas.microsoft.com/office/drawing/2014/main" id="{AA9F6387-2418-4CE6-9914-5EB455184914}"/>
            </a:ext>
          </a:extLst>
        </xdr:cNvPr>
        <xdr:cNvSpPr/>
      </xdr:nvSpPr>
      <xdr:spPr>
        <a:xfrm rot="10800000">
          <a:off x="11429999" y="214993"/>
          <a:ext cx="152400" cy="18777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443592</xdr:colOff>
      <xdr:row>1</xdr:row>
      <xdr:rowOff>32657</xdr:rowOff>
    </xdr:from>
    <xdr:to>
      <xdr:col>14</xdr:col>
      <xdr:colOff>748392</xdr:colOff>
      <xdr:row>2</xdr:row>
      <xdr:rowOff>4082</xdr:rowOff>
    </xdr:to>
    <xdr:sp macro="" textlink="">
      <xdr:nvSpPr>
        <xdr:cNvPr id="3" name="Arrow: Down 8">
          <a:extLst>
            <a:ext uri="{FF2B5EF4-FFF2-40B4-BE49-F238E27FC236}">
              <a16:creationId xmlns:a16="http://schemas.microsoft.com/office/drawing/2014/main" id="{EDC7F96C-83EC-489E-B6C6-F49E17C21F83}"/>
            </a:ext>
          </a:extLst>
        </xdr:cNvPr>
        <xdr:cNvSpPr/>
      </xdr:nvSpPr>
      <xdr:spPr>
        <a:xfrm rot="10800000">
          <a:off x="8977992" y="223157"/>
          <a:ext cx="161925" cy="161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375557</xdr:colOff>
      <xdr:row>1</xdr:row>
      <xdr:rowOff>32657</xdr:rowOff>
    </xdr:from>
    <xdr:to>
      <xdr:col>15</xdr:col>
      <xdr:colOff>680357</xdr:colOff>
      <xdr:row>2</xdr:row>
      <xdr:rowOff>10885</xdr:rowOff>
    </xdr:to>
    <xdr:sp macro="" textlink="">
      <xdr:nvSpPr>
        <xdr:cNvPr id="4" name="Arrow: Down 9">
          <a:extLst>
            <a:ext uri="{FF2B5EF4-FFF2-40B4-BE49-F238E27FC236}">
              <a16:creationId xmlns:a16="http://schemas.microsoft.com/office/drawing/2014/main" id="{BAD1DAC7-6E41-43E5-9C39-C28E17D96A0D}"/>
            </a:ext>
          </a:extLst>
        </xdr:cNvPr>
        <xdr:cNvSpPr/>
      </xdr:nvSpPr>
      <xdr:spPr>
        <a:xfrm rot="10800000">
          <a:off x="9519557" y="223157"/>
          <a:ext cx="238125" cy="168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448394</xdr:colOff>
      <xdr:row>1</xdr:row>
      <xdr:rowOff>19050</xdr:rowOff>
    </xdr:from>
    <xdr:to>
      <xdr:col>16</xdr:col>
      <xdr:colOff>753194</xdr:colOff>
      <xdr:row>1</xdr:row>
      <xdr:rowOff>385082</xdr:rowOff>
    </xdr:to>
    <xdr:sp macro="" textlink="">
      <xdr:nvSpPr>
        <xdr:cNvPr id="5" name="Arrow: Down 10">
          <a:extLst>
            <a:ext uri="{FF2B5EF4-FFF2-40B4-BE49-F238E27FC236}">
              <a16:creationId xmlns:a16="http://schemas.microsoft.com/office/drawing/2014/main" id="{793A15A1-9769-44B1-8F22-5EE3F04290D7}"/>
            </a:ext>
          </a:extLst>
        </xdr:cNvPr>
        <xdr:cNvSpPr/>
      </xdr:nvSpPr>
      <xdr:spPr>
        <a:xfrm rot="10800000">
          <a:off x="10201994" y="2095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Work/PMTT/2024/6.ManagingWasteInventory/Report/M&#7851;u%20bi&#234;n%20b&#7843;n-ch&#7913;ng%20t&#7915;%20xu&#7845;t%20kho%20(14.1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ữ liệu xuất kho"/>
      <sheetName val="DATA (2)"/>
      <sheetName val="DATA BASE"/>
      <sheetName val="CHỨNG TỪ THUẬN THÀNH"/>
      <sheetName val="BB RÁC NGUY HẠI THUẬN THÀNH"/>
      <sheetName val="Sheet1"/>
      <sheetName val="BB RÁC THÔNG THƯỜNG THUẬN THÀNH"/>
      <sheetName val="BIÊN BẢN THĂNG LONG"/>
      <sheetName val="CHỨNG TỪ TÂN THUẬN PHONG"/>
      <sheetName val="BIÊN BẢN TÂN THUẬN PHONG"/>
      <sheetName val="CHỨNG TỪ MATSUDA"/>
      <sheetName val="TỔNG HỢP"/>
      <sheetName val="THÔNG TIN XE"/>
    </sheetNames>
    <sheetDataSet>
      <sheetData sheetId="0" refreshError="1"/>
      <sheetData sheetId="1" refreshError="1"/>
      <sheetData sheetId="2" refreshError="1"/>
      <sheetData sheetId="3">
        <row r="1">
          <cell r="S1" t="str">
            <v>f1</v>
          </cell>
          <cell r="V1">
            <v>16</v>
          </cell>
          <cell r="W1">
            <v>10</v>
          </cell>
          <cell r="X1">
            <v>2024</v>
          </cell>
        </row>
        <row r="17">
          <cell r="B17" t="str">
            <v>Bùn xử lý nước thải chứa H2O2</v>
          </cell>
          <cell r="J17" t="str">
            <v>x</v>
          </cell>
          <cell r="K17" t="str">
            <v>12 06 05</v>
          </cell>
        </row>
        <row r="18">
          <cell r="B18" t="str">
            <v>Axit tẩy thải(HNO3, pH&lt;2)</v>
          </cell>
          <cell r="I18" t="str">
            <v>x</v>
          </cell>
          <cell r="K18" t="str">
            <v>07 01 01</v>
          </cell>
        </row>
        <row r="19">
          <cell r="B19" t="str">
            <v>Nước thải từ quá trình mạ điện (CuSO4)</v>
          </cell>
          <cell r="I19" t="str">
            <v>x</v>
          </cell>
          <cell r="K19" t="str">
            <v>07 02 03</v>
          </cell>
        </row>
        <row r="20">
          <cell r="B20" t="str">
            <v>Nước thải từ quá trình mạ điện</v>
          </cell>
          <cell r="I20" t="str">
            <v>x</v>
          </cell>
          <cell r="K20" t="str">
            <v>07 02 03</v>
          </cell>
        </row>
        <row r="21">
          <cell r="B21" t="str">
            <v>Nước thải từ quá trình mạ điện (Nicl2 thải pH&lt;2)</v>
          </cell>
          <cell r="I21" t="str">
            <v>x</v>
          </cell>
          <cell r="K21" t="str">
            <v>07 02 03</v>
          </cell>
        </row>
        <row r="22">
          <cell r="B22" t="str">
            <v>Các chất thải khác có chứa thành phần nguy hại (Javen, Kleankem, Unifresh thải)</v>
          </cell>
          <cell r="I22" t="str">
            <v>x</v>
          </cell>
          <cell r="K22" t="str">
            <v>07 01 10</v>
          </cell>
        </row>
        <row r="23">
          <cell r="B23" t="str">
            <v>Nước thải bazo ( Lonox 5314, 5611)</v>
          </cell>
          <cell r="I23" t="str">
            <v>x</v>
          </cell>
          <cell r="K23" t="str">
            <v>07 01 03</v>
          </cell>
        </row>
        <row r="24">
          <cell r="B24" t="str">
            <v>Chất thải từ quá trình rửa, làm sạch bề mặt</v>
          </cell>
          <cell r="I24" t="str">
            <v>x</v>
          </cell>
          <cell r="K24" t="str">
            <v>07 02 02</v>
          </cell>
        </row>
        <row r="25">
          <cell r="B25" t="str">
            <v>Dầu thải từ thiết bị tách dầu/nước</v>
          </cell>
          <cell r="I25" t="str">
            <v>x</v>
          </cell>
          <cell r="K25" t="str">
            <v>17 05 04</v>
          </cell>
        </row>
        <row r="26">
          <cell r="B26" t="str">
            <v>Dầu thủy lực thải</v>
          </cell>
          <cell r="I26" t="str">
            <v>x</v>
          </cell>
          <cell r="K26" t="str">
            <v>17 01 07</v>
          </cell>
        </row>
        <row r="27">
          <cell r="B27" t="str">
            <v>Dầu động cơ, hộp số bôi trơn thải</v>
          </cell>
          <cell r="I27" t="str">
            <v>x</v>
          </cell>
          <cell r="K27" t="str">
            <v>17 02 04</v>
          </cell>
        </row>
        <row r="28">
          <cell r="B28" t="str">
            <v>Chất hấp thụ, vật liệu lọc, giẻ lau, găng tay dính dầu mỡ, dính mực</v>
          </cell>
          <cell r="H28" t="str">
            <v>x</v>
          </cell>
          <cell r="K28" t="str">
            <v>18 02 01</v>
          </cell>
        </row>
        <row r="29">
          <cell r="B29" t="str">
            <v>Hộp mực in thải có thành phần nguy hại</v>
          </cell>
          <cell r="H29" t="str">
            <v>x</v>
          </cell>
          <cell r="K29" t="str">
            <v>08 02 04</v>
          </cell>
        </row>
        <row r="30">
          <cell r="B30" t="str">
            <v>Bóng đèn huỳnh quang thải</v>
          </cell>
          <cell r="H30" t="str">
            <v>x</v>
          </cell>
          <cell r="K30" t="str">
            <v>16 01 06</v>
          </cell>
        </row>
        <row r="31">
          <cell r="B31" t="str">
            <v>Các loại chất thải khác có thành phần nguy hại (lõi lọc)</v>
          </cell>
          <cell r="H31" t="str">
            <v>x</v>
          </cell>
          <cell r="K31" t="str">
            <v>18 02 01</v>
          </cell>
        </row>
        <row r="32">
          <cell r="B32" t="str">
            <v>Các loại chất thải khác có thành phần nguy hại (bã phim)</v>
          </cell>
          <cell r="H32" t="str">
            <v>x</v>
          </cell>
          <cell r="K32" t="str">
            <v>19 12 03</v>
          </cell>
        </row>
        <row r="33">
          <cell r="B33" t="str">
            <v>Pin, ắc quy thải</v>
          </cell>
          <cell r="H33" t="str">
            <v>x</v>
          </cell>
          <cell r="K33" t="str">
            <v>19 06 01</v>
          </cell>
        </row>
        <row r="34">
          <cell r="B34" t="str">
            <v>Chất thải có chứa bạc từ quá trình xử lý phim ảnh</v>
          </cell>
          <cell r="I34" t="str">
            <v>x</v>
          </cell>
          <cell r="K34" t="str">
            <v>19 01 06</v>
          </cell>
        </row>
        <row r="35">
          <cell r="B35" t="str">
            <v>Bao bì cứng bằng nhựa thải</v>
          </cell>
          <cell r="H35" t="str">
            <v>x</v>
          </cell>
          <cell r="K35" t="str">
            <v>18 01 03</v>
          </cell>
        </row>
        <row r="36">
          <cell r="B36" t="str">
            <v>Bao bì cứng bằng kim loại thải</v>
          </cell>
          <cell r="H36" t="str">
            <v>x</v>
          </cell>
          <cell r="K36" t="str">
            <v>18 01 02</v>
          </cell>
        </row>
        <row r="37">
          <cell r="B37" t="str">
            <v>Các thiết bị, bộ phận, linh kiện điện tử thải (trừ bản mạch điện tử không chứa các thành phần nguy hại vượt ngưỡng CTNH)</v>
          </cell>
          <cell r="H37" t="str">
            <v>x</v>
          </cell>
          <cell r="K37" t="str">
            <v>19 02 06</v>
          </cell>
        </row>
        <row r="38">
          <cell r="B38" t="str">
            <v>Bao bì cứng bằng các vật liệu khác (Composit, thủy tinh,…) thải</v>
          </cell>
          <cell r="H38" t="str">
            <v>x</v>
          </cell>
          <cell r="K38" t="str">
            <v>18 01 04</v>
          </cell>
        </row>
        <row r="39">
          <cell r="B39" t="str">
            <v>Chất thải FPC</v>
          </cell>
          <cell r="H39" t="str">
            <v>x</v>
          </cell>
          <cell r="K39" t="str">
            <v>19 03 01</v>
          </cell>
        </row>
        <row r="40">
          <cell r="B40" t="str">
            <v>Cát thải từ hệ thống xử lý nước</v>
          </cell>
          <cell r="H40" t="str">
            <v>x</v>
          </cell>
          <cell r="K40" t="str">
            <v>12 02 02</v>
          </cell>
        </row>
        <row r="41">
          <cell r="B41" t="str">
            <v>Hóa chất và hỗn hợp hóa chất phòng thí nghiệm thải có các thành phần nguy hại</v>
          </cell>
          <cell r="I41" t="str">
            <v>x</v>
          </cell>
          <cell r="K41" t="str">
            <v>19 05 02</v>
          </cell>
        </row>
        <row r="42">
          <cell r="B42" t="str">
            <v>Hóa chất vô cơ thải bao gồm hoặc có các thành phần nguy hại (Solder thải)</v>
          </cell>
          <cell r="J42" t="str">
            <v>x</v>
          </cell>
          <cell r="K42" t="str">
            <v>19 05 03</v>
          </cell>
        </row>
        <row r="43">
          <cell r="B43" t="str">
            <v>Dung dịch (CuCl2, pH&lt;2)</v>
          </cell>
          <cell r="I43" t="str">
            <v>x</v>
          </cell>
          <cell r="K43" t="str">
            <v>07 01 01</v>
          </cell>
        </row>
        <row r="44">
          <cell r="B44" t="str">
            <v>Nhựa trao đổi ion đã qua sử dụng trong quá trình XLNT</v>
          </cell>
          <cell r="H44" t="str">
            <v>x</v>
          </cell>
          <cell r="K44" t="str">
            <v>12 06 01</v>
          </cell>
        </row>
        <row r="45">
          <cell r="B45" t="str">
            <v>Các chất CFC, HCFC, HFC thải</v>
          </cell>
          <cell r="I45" t="str">
            <v>x</v>
          </cell>
          <cell r="K45" t="str">
            <v>17 08 01</v>
          </cell>
        </row>
        <row r="52">
          <cell r="H52" t="str">
            <v xml:space="preserve">8. Chủ CS DV XL CTNH (cuối dùng) xác nhận đã hoàn
 thành việc xử lý an toàn  tất cả CTNH bằng các phương pháp như kê khai ở mục 4.
Bắc Ninh, ngày…….....tháng…….... Năm 2024
</v>
          </cell>
        </row>
      </sheetData>
      <sheetData sheetId="4" refreshError="1"/>
      <sheetData sheetId="5">
        <row r="25">
          <cell r="H25" t="str">
            <v>Bùn xử lý nước thải chứa H2O2</v>
          </cell>
        </row>
        <row r="26">
          <cell r="H26" t="str">
            <v>Các chất thải khác có chứa thành phần nguy hại (Javen, Kleankem, Unifresh thải)</v>
          </cell>
        </row>
        <row r="27">
          <cell r="H27" t="str">
            <v>Nước thải bazo ( Lonox 5314, 5611)</v>
          </cell>
        </row>
        <row r="28">
          <cell r="H28" t="str">
            <v>Chất thải từ quá trình rửa, làm sạch bề mặt</v>
          </cell>
        </row>
        <row r="29">
          <cell r="H29" t="str">
            <v>Chất hấp thụ, vật liệu lọc, giẻ lau, găng tay dính dầu mỡ, dính mực</v>
          </cell>
        </row>
        <row r="30">
          <cell r="H30" t="str">
            <v>Chất thải FPC</v>
          </cell>
        </row>
        <row r="31">
          <cell r="H31" t="str">
            <v>Cát thải từ hệ thống xử lý nước</v>
          </cell>
        </row>
        <row r="32">
          <cell r="H32" t="str">
            <v>Hóa chất và hỗn hợp hóa chất phòng thí nghiệm thải có các thành phần nguy hại</v>
          </cell>
        </row>
        <row r="33">
          <cell r="H33" t="str">
            <v>Các chất CFC, HCFC, HFC thải</v>
          </cell>
        </row>
        <row r="34">
          <cell r="H34" t="str">
            <v>Hóa chất vô cơ thải bao gồm hoặc có các thành phần nguy hại (Solder thải)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V45"/>
  <sheetViews>
    <sheetView tabSelected="1" view="pageBreakPreview" zoomScale="70" zoomScaleNormal="68" zoomScaleSheetLayoutView="70" workbookViewId="0">
      <selection activeCell="AA11" sqref="AA11"/>
    </sheetView>
  </sheetViews>
  <sheetFormatPr defaultColWidth="9.140625" defaultRowHeight="18.75"/>
  <cols>
    <col min="1" max="1" width="9.85546875" customWidth="1" style="2"/>
    <col min="2" max="2" width="43.42578125" customWidth="1" style="2"/>
    <col min="3" max="3" width="4.85546875" customWidth="1" style="2"/>
    <col min="4" max="4" width="14.42578125" customWidth="1" style="2"/>
    <col min="5" max="5" width="11.85546875" customWidth="1" style="3"/>
    <col min="6" max="6" width="11.28515625" customWidth="1" style="4"/>
    <col min="7" max="7" width="3.85546875" customWidth="1" style="4"/>
    <col min="8" max="8" width="1.42578125" customWidth="1" style="4"/>
    <col min="9" max="9" width="4.85546875" customWidth="1" style="4"/>
    <col min="10" max="10" width="1.7109375" customWidth="1" style="4"/>
    <col min="11" max="11" width="7.42578125" customWidth="1" style="4"/>
    <col min="12" max="12" width="3.140625" customWidth="1" style="4"/>
    <col min="13" max="13" width="7.140625" customWidth="1" style="4"/>
    <col min="14" max="14" width="19.140625" customWidth="1" style="2"/>
    <col min="15" max="16" hidden="1" width="14.85546875" customWidth="1" style="2"/>
    <col min="17" max="17" hidden="1" width="16.28515625" customWidth="1" style="2"/>
    <col min="18" max="18" hidden="1" width="0" customWidth="1" style="2"/>
    <col min="19" max="19" hidden="1" width="15" customWidth="1" style="2"/>
    <col min="20" max="24" hidden="1" width="0" customWidth="1" style="2"/>
    <col min="25" max="16384" width="9.140625" customWidth="1" style="2"/>
  </cols>
  <sheetData>
    <row r="1" ht="32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O1" s="5">
        <f>'[1]CHỨNG TỪ THUẬN THÀNH'!V1</f>
        <v>16</v>
      </c>
      <c r="P1" s="5">
        <f>'[1]CHỨNG TỪ THUẬN THÀNH'!W1</f>
        <v>10</v>
      </c>
      <c r="Q1" s="5">
        <f>'[1]CHỨNG TỪ THUẬN THÀNH'!X1</f>
        <v>2024</v>
      </c>
      <c r="R1" s="6"/>
      <c r="S1" s="5" t="str">
        <f>'[1]CHỨNG TỪ THUẬN THÀNH'!S1</f>
        <v>f1</v>
      </c>
    </row>
    <row r="2" ht="18.7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O2" s="8"/>
      <c r="P2" s="9"/>
      <c r="Q2" s="9"/>
      <c r="R2" s="9"/>
      <c r="S2" s="9"/>
    </row>
    <row r="3" ht="25.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O3" s="11" t="s">
        <v>3</v>
      </c>
      <c r="P3" s="12" t="s">
        <v>4</v>
      </c>
      <c r="Q3" s="12" t="s">
        <v>5</v>
      </c>
      <c r="R3" s="12"/>
      <c r="S3" s="12" t="s">
        <v>6</v>
      </c>
    </row>
    <row r="4" ht="18.75" customHeight="1">
      <c r="A4" s="13" t="s">
        <v>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U4" s="14" t="s">
        <v>8</v>
      </c>
      <c r="V4" s="15" t="s">
        <v>9</v>
      </c>
    </row>
    <row r="5" ht="17.25" customHeight="1">
      <c r="A5" s="16" t="s">
        <v>10</v>
      </c>
      <c r="B5" s="17" t="str">
        <f>VLOOKUP(S1,U:V,2,0)</f>
        <v>Lô C6, KCN Thăng Long, Đông Anh, Hà Nội  </v>
      </c>
      <c r="E5" s="3" t="s">
        <v>11</v>
      </c>
      <c r="F5" s="63" t="s">
        <v>12</v>
      </c>
      <c r="G5" s="63"/>
      <c r="H5" s="63"/>
      <c r="I5" s="63"/>
      <c r="J5" s="63"/>
      <c r="K5" s="63"/>
      <c r="L5" s="63"/>
      <c r="U5" s="14" t="s">
        <v>13</v>
      </c>
      <c r="V5" s="15" t="s">
        <v>14</v>
      </c>
    </row>
    <row r="6" ht="8.25" customHeight="1">
      <c r="A6" s="16"/>
      <c r="I6" s="18"/>
      <c r="J6" s="18"/>
      <c r="K6" s="18"/>
      <c r="L6" s="18"/>
      <c r="M6" s="18"/>
      <c r="U6" s="14" t="s">
        <v>15</v>
      </c>
      <c r="V6" s="15" t="s">
        <v>16</v>
      </c>
    </row>
    <row r="7" ht="30.75" customHeight="1">
      <c r="A7" s="19" t="s">
        <v>17</v>
      </c>
      <c r="B7" s="20" t="s">
        <v>18</v>
      </c>
      <c r="C7" s="20" t="s">
        <v>19</v>
      </c>
      <c r="D7" s="20" t="s">
        <v>20</v>
      </c>
      <c r="E7" s="21" t="s">
        <v>21</v>
      </c>
      <c r="F7" s="21" t="s">
        <v>22</v>
      </c>
      <c r="G7" s="22" t="s">
        <v>23</v>
      </c>
      <c r="H7" s="23"/>
      <c r="I7" s="24"/>
      <c r="J7" s="22" t="s">
        <v>24</v>
      </c>
      <c r="K7" s="24"/>
      <c r="L7" s="22" t="s">
        <v>25</v>
      </c>
      <c r="M7" s="23"/>
      <c r="U7" s="14" t="s">
        <v>26</v>
      </c>
      <c r="V7" s="15" t="s">
        <v>27</v>
      </c>
    </row>
    <row r="8" ht="19.5" customHeight="1">
      <c r="A8" s="25" t="s">
        <v>28</v>
      </c>
      <c r="B8" s="26" t="s">
        <v>29</v>
      </c>
      <c r="C8" s="27"/>
      <c r="D8" s="27"/>
      <c r="E8" s="28"/>
      <c r="F8" s="29"/>
      <c r="G8" s="30"/>
      <c r="H8" s="31"/>
      <c r="I8" s="32"/>
      <c r="J8" s="30"/>
      <c r="K8" s="32"/>
      <c r="L8" s="30"/>
      <c r="M8" s="33"/>
    </row>
    <row r="9" ht="20.25">
      <c r="A9" s="34" t="s">
        <v>30</v>
      </c>
      <c r="B9" s="2" t="s">
        <v>31</v>
      </c>
      <c r="C9" s="35" t="s">
        <v>32</v>
      </c>
      <c r="D9" s="36" t="s">
        <v>33</v>
      </c>
      <c r="E9" s="60"/>
      <c r="F9" s="61"/>
      <c r="G9" s="37"/>
      <c r="H9" s="38"/>
      <c r="I9" s="39"/>
      <c r="J9" s="40"/>
      <c r="K9" s="41"/>
      <c r="L9" s="40"/>
      <c r="M9" s="42"/>
    </row>
    <row r="10" ht="20.25">
      <c r="A10" s="34" t="s">
        <v>34</v>
      </c>
      <c r="B10" s="2" t="s">
        <v>35</v>
      </c>
      <c r="C10" s="35" t="s">
        <v>32</v>
      </c>
      <c r="D10" s="36" t="s">
        <v>33</v>
      </c>
      <c r="E10" s="60"/>
      <c r="F10" s="61"/>
      <c r="G10" s="37"/>
      <c r="H10" s="38"/>
      <c r="I10" s="39"/>
      <c r="J10" s="40"/>
      <c r="K10" s="41"/>
      <c r="L10" s="40"/>
      <c r="M10" s="42"/>
    </row>
    <row r="11" ht="20.25">
      <c r="A11" s="34" t="s">
        <v>36</v>
      </c>
      <c r="B11" s="2" t="s">
        <v>37</v>
      </c>
      <c r="C11" s="35" t="s">
        <v>32</v>
      </c>
      <c r="D11" s="36" t="s">
        <v>38</v>
      </c>
      <c r="E11" s="60"/>
      <c r="F11" s="61"/>
      <c r="G11" s="37" t="s">
        <v>39</v>
      </c>
      <c r="H11" s="38"/>
      <c r="I11" s="39"/>
      <c r="J11" s="40"/>
      <c r="K11" s="41"/>
      <c r="L11" s="40"/>
      <c r="M11" s="42"/>
    </row>
    <row r="12" ht="20.25">
      <c r="A12" s="34" t="s">
        <v>40</v>
      </c>
      <c r="B12" s="2" t="s">
        <v>41</v>
      </c>
      <c r="C12" s="35" t="s">
        <v>32</v>
      </c>
      <c r="D12" s="36" t="s">
        <v>42</v>
      </c>
      <c r="E12" s="62"/>
      <c r="F12" s="61"/>
      <c r="G12" s="37"/>
      <c r="H12" s="38"/>
      <c r="I12" s="39"/>
      <c r="J12" s="40"/>
      <c r="K12" s="41"/>
      <c r="L12" s="40"/>
      <c r="M12" s="42"/>
    </row>
    <row r="13" ht="20.25">
      <c r="A13" s="34" t="s">
        <v>43</v>
      </c>
      <c r="B13" s="2" t="s">
        <v>44</v>
      </c>
      <c r="C13" s="35" t="s">
        <v>32</v>
      </c>
      <c r="D13" s="36" t="s">
        <v>45</v>
      </c>
      <c r="E13" s="60"/>
      <c r="F13" s="61"/>
      <c r="G13" s="37"/>
      <c r="H13" s="38"/>
      <c r="I13" s="39"/>
      <c r="J13" s="40"/>
      <c r="K13" s="41"/>
      <c r="L13" s="40"/>
      <c r="M13" s="42"/>
    </row>
    <row r="14" ht="20.25">
      <c r="A14" s="34" t="s">
        <v>46</v>
      </c>
      <c r="B14" s="2" t="s">
        <v>47</v>
      </c>
      <c r="C14" s="35" t="s">
        <v>32</v>
      </c>
      <c r="D14" s="36" t="s">
        <v>48</v>
      </c>
      <c r="E14" s="60"/>
      <c r="F14" s="61"/>
      <c r="G14" s="37"/>
      <c r="H14" s="38"/>
      <c r="I14" s="39"/>
      <c r="J14" s="40"/>
      <c r="K14" s="41"/>
      <c r="L14" s="40"/>
      <c r="M14" s="42"/>
    </row>
    <row r="15" ht="20.25">
      <c r="A15" s="34" t="s">
        <v>49</v>
      </c>
      <c r="B15" s="2" t="s">
        <v>50</v>
      </c>
      <c r="C15" s="35" t="s">
        <v>32</v>
      </c>
      <c r="D15" s="36" t="s">
        <v>51</v>
      </c>
      <c r="E15" s="60"/>
      <c r="F15" s="61"/>
      <c r="G15" s="37"/>
      <c r="H15" s="38"/>
      <c r="I15" s="39"/>
      <c r="J15" s="40"/>
      <c r="K15" s="41"/>
      <c r="L15" s="40"/>
      <c r="M15" s="42"/>
    </row>
    <row r="16" ht="20.25">
      <c r="A16" s="34" t="s">
        <v>52</v>
      </c>
      <c r="B16" s="2" t="s">
        <v>53</v>
      </c>
      <c r="C16" s="35" t="s">
        <v>32</v>
      </c>
      <c r="D16" s="36" t="s">
        <v>54</v>
      </c>
      <c r="E16" s="60"/>
      <c r="F16" s="61"/>
      <c r="G16" s="37"/>
      <c r="H16" s="38"/>
      <c r="I16" s="39"/>
      <c r="J16" s="40"/>
      <c r="K16" s="41"/>
      <c r="L16" s="40"/>
      <c r="M16" s="42"/>
    </row>
    <row r="17" ht="20.25">
      <c r="A17" s="34" t="s">
        <v>55</v>
      </c>
      <c r="B17" s="2" t="s">
        <v>56</v>
      </c>
      <c r="C17" s="35" t="s">
        <v>32</v>
      </c>
      <c r="D17" s="36" t="s">
        <v>57</v>
      </c>
      <c r="E17" s="60"/>
      <c r="F17" s="61"/>
      <c r="G17" s="37"/>
      <c r="H17" s="38"/>
      <c r="I17" s="39"/>
      <c r="J17" s="40"/>
      <c r="K17" s="41"/>
      <c r="L17" s="40"/>
      <c r="M17" s="42"/>
    </row>
    <row r="18" ht="20.25">
      <c r="A18" s="34" t="s">
        <v>58</v>
      </c>
      <c r="B18" s="2" t="s">
        <v>59</v>
      </c>
      <c r="C18" s="35" t="s">
        <v>32</v>
      </c>
      <c r="D18" s="36" t="s">
        <v>60</v>
      </c>
      <c r="E18" s="60"/>
      <c r="F18" s="61"/>
      <c r="G18" s="37"/>
      <c r="H18" s="38"/>
      <c r="I18" s="39"/>
      <c r="J18" s="40"/>
      <c r="K18" s="41"/>
      <c r="L18" s="40"/>
      <c r="M18" s="42"/>
    </row>
    <row r="19" ht="20.25">
      <c r="A19" s="34" t="s">
        <v>61</v>
      </c>
      <c r="B19" s="2" t="s">
        <v>62</v>
      </c>
      <c r="C19" s="35" t="s">
        <v>32</v>
      </c>
      <c r="D19" s="36" t="s">
        <v>63</v>
      </c>
      <c r="E19" s="60"/>
      <c r="F19" s="61"/>
      <c r="G19" s="37"/>
      <c r="H19" s="38"/>
      <c r="I19" s="39"/>
      <c r="J19" s="40"/>
      <c r="K19" s="41"/>
      <c r="L19" s="40"/>
      <c r="M19" s="42"/>
    </row>
    <row r="20" ht="20.25">
      <c r="A20" s="34" t="s">
        <v>64</v>
      </c>
      <c r="B20" s="2" t="s">
        <v>65</v>
      </c>
      <c r="C20" s="35" t="s">
        <v>32</v>
      </c>
      <c r="D20" s="36" t="s">
        <v>66</v>
      </c>
      <c r="E20" s="62"/>
      <c r="F20" s="61"/>
      <c r="G20" s="37"/>
      <c r="H20" s="38"/>
      <c r="I20" s="39"/>
      <c r="J20" s="40"/>
      <c r="K20" s="41"/>
      <c r="L20" s="40"/>
      <c r="M20" s="42"/>
    </row>
    <row r="21" ht="20.25">
      <c r="A21" s="34" t="s">
        <v>67</v>
      </c>
      <c r="B21" s="2" t="s">
        <v>68</v>
      </c>
      <c r="C21" s="35" t="s">
        <v>32</v>
      </c>
      <c r="D21" s="36" t="s">
        <v>69</v>
      </c>
      <c r="E21" s="60"/>
      <c r="F21" s="61"/>
      <c r="G21" s="37"/>
      <c r="H21" s="38"/>
      <c r="I21" s="39"/>
      <c r="J21" s="40"/>
      <c r="K21" s="41"/>
      <c r="L21" s="40"/>
      <c r="M21" s="42"/>
    </row>
    <row r="22" ht="20.25">
      <c r="A22" s="34" t="s">
        <v>70</v>
      </c>
      <c r="B22" s="2" t="s">
        <v>71</v>
      </c>
      <c r="C22" s="35" t="s">
        <v>32</v>
      </c>
      <c r="D22" s="36" t="s">
        <v>72</v>
      </c>
      <c r="E22" s="60"/>
      <c r="F22" s="61"/>
      <c r="G22" s="37"/>
      <c r="H22" s="38"/>
      <c r="I22" s="39"/>
      <c r="J22" s="40"/>
      <c r="K22" s="41"/>
      <c r="L22" s="40"/>
      <c r="M22" s="42"/>
    </row>
    <row r="23" ht="20.25">
      <c r="A23" s="34" t="s">
        <v>73</v>
      </c>
      <c r="B23" s="2" t="s">
        <v>74</v>
      </c>
      <c r="C23" s="35" t="s">
        <v>32</v>
      </c>
      <c r="D23" s="43" t="s">
        <v>75</v>
      </c>
      <c r="E23" s="60"/>
      <c r="F23" s="61"/>
      <c r="G23" s="37"/>
      <c r="H23" s="38"/>
      <c r="I23" s="39"/>
      <c r="J23" s="40"/>
      <c r="K23" s="41"/>
      <c r="L23" s="40"/>
      <c r="M23" s="42"/>
    </row>
    <row r="24" ht="20.25">
      <c r="A24" s="34" t="s">
        <v>76</v>
      </c>
      <c r="B24" s="2" t="s">
        <v>77</v>
      </c>
      <c r="C24" s="35" t="s">
        <v>32</v>
      </c>
      <c r="D24" s="43"/>
      <c r="E24" s="60"/>
      <c r="F24" s="61"/>
      <c r="G24" s="37"/>
      <c r="H24" s="38"/>
      <c r="I24" s="39"/>
      <c r="J24" s="40"/>
      <c r="K24" s="41"/>
      <c r="L24" s="40"/>
      <c r="M24" s="42"/>
    </row>
    <row r="25" ht="20.25">
      <c r="A25" s="34" t="s">
        <v>78</v>
      </c>
      <c r="B25" s="2" t="s">
        <v>79</v>
      </c>
      <c r="C25" s="35" t="s">
        <v>32</v>
      </c>
      <c r="D25" s="36" t="s">
        <v>80</v>
      </c>
      <c r="E25" s="60"/>
      <c r="F25" s="61"/>
      <c r="G25" s="37"/>
      <c r="H25" s="38"/>
      <c r="I25" s="39"/>
      <c r="J25" s="40"/>
      <c r="K25" s="41"/>
      <c r="L25" s="40"/>
      <c r="M25" s="42"/>
    </row>
    <row r="26" ht="20.25">
      <c r="A26" s="34" t="s">
        <v>81</v>
      </c>
      <c r="B26" s="2" t="s">
        <v>82</v>
      </c>
      <c r="C26" s="35" t="s">
        <v>32</v>
      </c>
      <c r="D26" s="36" t="s">
        <v>80</v>
      </c>
      <c r="E26" s="60"/>
      <c r="F26" s="61"/>
      <c r="G26" s="37"/>
      <c r="H26" s="38"/>
      <c r="I26" s="39"/>
      <c r="J26" s="40"/>
      <c r="K26" s="41"/>
      <c r="L26" s="40"/>
      <c r="M26" s="42"/>
    </row>
    <row r="27" ht="20.25">
      <c r="A27" s="34" t="s">
        <v>83</v>
      </c>
      <c r="B27" s="2" t="s">
        <v>84</v>
      </c>
      <c r="C27" s="35" t="s">
        <v>32</v>
      </c>
      <c r="D27" s="36" t="s">
        <v>33</v>
      </c>
      <c r="E27" s="60"/>
      <c r="F27" s="61"/>
      <c r="G27" s="37"/>
      <c r="H27" s="38"/>
      <c r="I27" s="39"/>
      <c r="J27" s="40"/>
      <c r="K27" s="41"/>
      <c r="L27" s="40"/>
      <c r="M27" s="42"/>
    </row>
    <row r="28" ht="20.25">
      <c r="A28" s="34" t="s">
        <v>85</v>
      </c>
      <c r="B28" s="2" t="s">
        <v>86</v>
      </c>
      <c r="C28" s="35" t="s">
        <v>32</v>
      </c>
      <c r="D28" s="36" t="s">
        <v>87</v>
      </c>
      <c r="E28" s="60"/>
      <c r="F28" s="61"/>
      <c r="G28" s="37"/>
      <c r="H28" s="38"/>
      <c r="I28" s="39"/>
      <c r="J28" s="40"/>
      <c r="K28" s="41"/>
      <c r="L28" s="40"/>
      <c r="M28" s="42"/>
    </row>
    <row r="29" ht="20.25">
      <c r="A29" s="34" t="s">
        <v>88</v>
      </c>
      <c r="B29" s="2" t="s">
        <v>89</v>
      </c>
      <c r="C29" s="35" t="s">
        <v>32</v>
      </c>
      <c r="D29" s="36" t="s">
        <v>90</v>
      </c>
      <c r="E29" s="60"/>
      <c r="F29" s="61"/>
      <c r="G29" s="37"/>
      <c r="H29" s="38"/>
      <c r="I29" s="39"/>
      <c r="J29" s="40"/>
      <c r="K29" s="41"/>
      <c r="L29" s="40"/>
      <c r="M29" s="42"/>
    </row>
    <row r="30" ht="20.25">
      <c r="A30" s="34" t="s">
        <v>91</v>
      </c>
      <c r="B30" s="2" t="s">
        <v>92</v>
      </c>
      <c r="C30" s="35" t="s">
        <v>32</v>
      </c>
      <c r="D30" s="36" t="s">
        <v>93</v>
      </c>
      <c r="E30" s="60"/>
      <c r="F30" s="61"/>
      <c r="G30" s="37"/>
      <c r="H30" s="38"/>
      <c r="I30" s="39"/>
      <c r="J30" s="40"/>
      <c r="K30" s="41"/>
      <c r="L30" s="40"/>
      <c r="M30" s="42"/>
    </row>
    <row r="31" ht="20.25">
      <c r="A31" s="34" t="s">
        <v>94</v>
      </c>
      <c r="B31" s="2" t="s">
        <v>95</v>
      </c>
      <c r="C31" s="35" t="s">
        <v>32</v>
      </c>
      <c r="D31" s="36" t="s">
        <v>96</v>
      </c>
      <c r="E31" s="60"/>
      <c r="F31" s="61"/>
      <c r="G31" s="37"/>
      <c r="H31" s="38"/>
      <c r="I31" s="39"/>
      <c r="J31" s="40"/>
      <c r="K31" s="41"/>
      <c r="L31" s="40"/>
      <c r="M31" s="42"/>
    </row>
    <row r="32" ht="20.25">
      <c r="A32" s="34" t="s">
        <v>97</v>
      </c>
      <c r="B32" s="2" t="s">
        <v>98</v>
      </c>
      <c r="C32" s="35" t="s">
        <v>32</v>
      </c>
      <c r="D32" s="36">
        <f>VLOOKUP([1]Sheet1!H25,'[1]CHỨNG TỪ THUẬN THÀNH'!B17:K45,6,0)</f>
        <v>0</v>
      </c>
      <c r="E32" s="60"/>
      <c r="F32" s="61"/>
      <c r="G32" s="37"/>
      <c r="H32" s="38"/>
      <c r="I32" s="39"/>
      <c r="J32" s="40"/>
      <c r="K32" s="41"/>
      <c r="L32" s="40"/>
      <c r="M32" s="42"/>
    </row>
    <row r="33" ht="20.25">
      <c r="A33" s="34" t="s">
        <v>99</v>
      </c>
      <c r="B33" s="2" t="s">
        <v>100</v>
      </c>
      <c r="C33" s="35" t="s">
        <v>32</v>
      </c>
      <c r="D33" s="36">
        <f>VLOOKUP([1]Sheet1!H26,'[1]CHỨNG TỪ THUẬN THÀNH'!B18:K46,6,0)</f>
        <v>0</v>
      </c>
      <c r="E33" s="60"/>
      <c r="F33" s="61"/>
      <c r="G33" s="37"/>
      <c r="H33" s="38"/>
      <c r="I33" s="39"/>
      <c r="J33" s="40"/>
      <c r="K33" s="41"/>
      <c r="L33" s="40"/>
      <c r="M33" s="42"/>
    </row>
    <row r="34" ht="20.25">
      <c r="A34" s="34" t="s">
        <v>101</v>
      </c>
      <c r="B34" s="2" t="s">
        <v>102</v>
      </c>
      <c r="C34" s="35" t="s">
        <v>32</v>
      </c>
      <c r="D34" s="36">
        <f>VLOOKUP([1]Sheet1!H27,'[1]CHỨNG TỪ THUẬN THÀNH'!B19:K47,6,0)</f>
        <v>0</v>
      </c>
      <c r="E34" s="60"/>
      <c r="F34" s="61"/>
      <c r="G34" s="37"/>
      <c r="H34" s="38"/>
      <c r="I34" s="39"/>
      <c r="J34" s="40"/>
      <c r="K34" s="41"/>
      <c r="L34" s="40"/>
      <c r="M34" s="42"/>
    </row>
    <row r="35" ht="20.25">
      <c r="A35" s="34" t="s">
        <v>103</v>
      </c>
      <c r="B35" s="2" t="s">
        <v>104</v>
      </c>
      <c r="C35" s="35" t="s">
        <v>32</v>
      </c>
      <c r="D35" s="36">
        <f>VLOOKUP([1]Sheet1!H28,'[1]CHỨNG TỪ THUẬN THÀNH'!B20:K48,6,0)</f>
        <v>0</v>
      </c>
      <c r="E35" s="60"/>
      <c r="F35" s="61"/>
      <c r="G35" s="37"/>
      <c r="H35" s="38"/>
      <c r="I35" s="39"/>
      <c r="J35" s="40"/>
      <c r="K35" s="41"/>
      <c r="L35" s="40"/>
      <c r="M35" s="42"/>
    </row>
    <row r="36" ht="20.25">
      <c r="A36" s="34" t="s">
        <v>105</v>
      </c>
      <c r="B36" s="2" t="s">
        <v>106</v>
      </c>
      <c r="C36" s="35" t="s">
        <v>32</v>
      </c>
      <c r="D36" s="36">
        <f>VLOOKUP([1]Sheet1!H29,'[1]CHỨNG TỪ THUẬN THÀNH'!B21:K49,6,0)</f>
        <v>0</v>
      </c>
      <c r="E36" s="60"/>
      <c r="F36" s="61"/>
      <c r="G36" s="37"/>
      <c r="H36" s="38"/>
      <c r="I36" s="39"/>
      <c r="J36" s="40"/>
      <c r="K36" s="41"/>
      <c r="L36" s="40"/>
      <c r="M36" s="42"/>
    </row>
    <row r="37" ht="20.25">
      <c r="A37" s="34" t="s">
        <v>107</v>
      </c>
      <c r="B37" s="2" t="s">
        <v>108</v>
      </c>
      <c r="C37" s="35" t="s">
        <v>32</v>
      </c>
      <c r="D37" s="36">
        <f>VLOOKUP([1]Sheet1!H30,'[1]CHỨNG TỪ THUẬN THÀNH'!B22:K50,6,0)</f>
        <v>0</v>
      </c>
      <c r="E37" s="60"/>
      <c r="F37" s="61"/>
      <c r="G37" s="37"/>
      <c r="H37" s="38"/>
      <c r="I37" s="39"/>
      <c r="J37" s="40"/>
      <c r="K37" s="41"/>
      <c r="L37" s="40"/>
      <c r="M37" s="42"/>
    </row>
    <row r="38" ht="20.25">
      <c r="A38" s="34" t="s">
        <v>109</v>
      </c>
      <c r="B38" s="2" t="s">
        <v>110</v>
      </c>
      <c r="C38" s="35" t="s">
        <v>32</v>
      </c>
      <c r="D38" s="36">
        <f>VLOOKUP([1]Sheet1!H31,'[1]CHỨNG TỪ THUẬN THÀNH'!B23:K51,6,0)</f>
        <v>0</v>
      </c>
      <c r="E38" s="60"/>
      <c r="F38" s="61"/>
      <c r="G38" s="37"/>
      <c r="H38" s="38"/>
      <c r="I38" s="39"/>
      <c r="J38" s="40"/>
      <c r="K38" s="41"/>
      <c r="L38" s="40"/>
      <c r="M38" s="42"/>
    </row>
    <row r="39" ht="20.25">
      <c r="A39" s="34" t="s">
        <v>111</v>
      </c>
      <c r="B39" s="2" t="s">
        <v>112</v>
      </c>
      <c r="C39" s="35" t="s">
        <v>32</v>
      </c>
      <c r="D39" s="36">
        <f>VLOOKUP([1]Sheet1!H32,'[1]CHỨNG TỪ THUẬN THÀNH'!B24:K52,6,0)</f>
        <v>0</v>
      </c>
      <c r="E39" s="60"/>
      <c r="F39" s="61"/>
      <c r="G39" s="37"/>
      <c r="H39" s="38"/>
      <c r="I39" s="39"/>
      <c r="J39" s="40"/>
      <c r="K39" s="41"/>
      <c r="L39" s="40"/>
      <c r="M39" s="42"/>
    </row>
    <row r="40" ht="20.25">
      <c r="A40" s="34" t="s">
        <v>113</v>
      </c>
      <c r="B40" s="2" t="s">
        <v>114</v>
      </c>
      <c r="C40" s="35" t="s">
        <v>32</v>
      </c>
      <c r="D40" s="36">
        <f>VLOOKUP([1]Sheet1!H33,'[1]CHỨNG TỪ THUẬN THÀNH'!B24:K52,6,0)</f>
        <v>0</v>
      </c>
      <c r="E40" s="60"/>
      <c r="F40" s="61"/>
      <c r="G40" s="37"/>
      <c r="H40" s="38"/>
      <c r="I40" s="39"/>
      <c r="J40" s="40"/>
      <c r="K40" s="41"/>
      <c r="L40" s="40"/>
      <c r="M40" s="42"/>
    </row>
    <row r="41" ht="21">
      <c r="A41" s="34" t="s">
        <v>115</v>
      </c>
      <c r="B41" s="2" t="s">
        <v>116</v>
      </c>
      <c r="C41" s="44" t="s">
        <v>32</v>
      </c>
      <c r="D41" s="45">
        <f>VLOOKUP([1]Sheet1!H34,'[1]CHỨNG TỪ THUẬN THÀNH'!B25:K53,6,0)</f>
        <v>0</v>
      </c>
      <c r="E41" s="64" t="s">
        <v>117</v>
      </c>
      <c r="F41" s="65" t="s">
        <v>118</v>
      </c>
      <c r="G41" s="46"/>
      <c r="H41" s="47"/>
      <c r="I41" s="48"/>
      <c r="J41" s="49"/>
      <c r="K41" s="50"/>
      <c r="L41" s="51"/>
      <c r="M41" s="52"/>
    </row>
    <row r="42">
      <c r="A42" s="53" t="s">
        <v>119</v>
      </c>
      <c r="F42" s="54"/>
      <c r="G42" s="54"/>
      <c r="H42" s="54"/>
      <c r="L42" s="55"/>
      <c r="M42" s="55"/>
    </row>
    <row r="43" ht="11.25" customHeight="1"/>
    <row r="44" ht="15">
      <c r="A44" s="56" t="s">
        <v>120</v>
      </c>
      <c r="B44" s="56"/>
      <c r="C44" s="57"/>
      <c r="D44" s="56"/>
      <c r="E44" s="56"/>
      <c r="F44" s="56" t="s">
        <v>121</v>
      </c>
      <c r="G44" s="56"/>
      <c r="H44" s="56"/>
      <c r="I44" s="56"/>
      <c r="J44" s="56"/>
      <c r="K44" s="56"/>
      <c r="L44" s="54"/>
    </row>
    <row r="45" ht="15">
      <c r="A45" s="58" t="s">
        <v>122</v>
      </c>
      <c r="B45" s="58"/>
      <c r="C45" s="53"/>
      <c r="D45" s="58"/>
      <c r="E45" s="58"/>
      <c r="F45" s="58" t="s">
        <v>122</v>
      </c>
      <c r="G45" s="58"/>
      <c r="H45" s="58"/>
      <c r="I45" s="58"/>
      <c r="J45" s="58"/>
      <c r="K45" s="58"/>
      <c r="L45" s="59"/>
    </row>
    <row r="48"/>
  </sheetData>
  <sheetProtection selectLockedCells="1" selectUnlockedCells="1"/>
  <mergeCells>
    <mergeCell ref="A3:M3"/>
    <mergeCell ref="A4:M4"/>
    <mergeCell ref="G7:I7"/>
    <mergeCell ref="J7:K7"/>
    <mergeCell ref="L7:M7"/>
    <mergeCell ref="A2:I2"/>
    <mergeCell ref="A1:I1"/>
    <mergeCell ref="F5:L5"/>
    <mergeCell ref="G8:I8"/>
    <mergeCell ref="J8:K8"/>
    <mergeCell ref="L8:M8"/>
    <mergeCell ref="G9:I9"/>
    <mergeCell ref="J9:K9"/>
    <mergeCell ref="L9:M9"/>
    <mergeCell ref="G10:I10"/>
    <mergeCell ref="J10:K10"/>
    <mergeCell ref="L10:M10"/>
    <mergeCell ref="G11:I11"/>
    <mergeCell ref="J11:K11"/>
    <mergeCell ref="L11:M11"/>
    <mergeCell ref="G12:I12"/>
    <mergeCell ref="J12:K12"/>
    <mergeCell ref="L12:M12"/>
    <mergeCell ref="G13:I13"/>
    <mergeCell ref="J13:K13"/>
    <mergeCell ref="L13:M13"/>
    <mergeCell ref="G14:I14"/>
    <mergeCell ref="J14:K14"/>
    <mergeCell ref="L14:M14"/>
    <mergeCell ref="G15:I15"/>
    <mergeCell ref="J15:K15"/>
    <mergeCell ref="L15:M15"/>
    <mergeCell ref="G16:I16"/>
    <mergeCell ref="J16:K16"/>
    <mergeCell ref="L16:M16"/>
    <mergeCell ref="G17:I17"/>
    <mergeCell ref="J17:K17"/>
    <mergeCell ref="L17:M17"/>
    <mergeCell ref="G18:I18"/>
    <mergeCell ref="J18:K18"/>
    <mergeCell ref="L18:M18"/>
    <mergeCell ref="G19:I19"/>
    <mergeCell ref="J19:K19"/>
    <mergeCell ref="L19:M19"/>
    <mergeCell ref="G20:I20"/>
    <mergeCell ref="J20:K20"/>
    <mergeCell ref="L20:M20"/>
    <mergeCell ref="G21:I21"/>
    <mergeCell ref="J21:K21"/>
    <mergeCell ref="L21:M21"/>
    <mergeCell ref="G22:I22"/>
    <mergeCell ref="J22:K22"/>
    <mergeCell ref="L22:M22"/>
    <mergeCell ref="D23:D24"/>
    <mergeCell ref="G23:I23"/>
    <mergeCell ref="J23:K23"/>
    <mergeCell ref="L23:M23"/>
    <mergeCell ref="G24:I24"/>
    <mergeCell ref="J24:K24"/>
    <mergeCell ref="L24:M24"/>
    <mergeCell ref="G25:I25"/>
    <mergeCell ref="J25:K25"/>
    <mergeCell ref="L25:M25"/>
    <mergeCell ref="G26:I26"/>
    <mergeCell ref="J26:K26"/>
    <mergeCell ref="L26:M26"/>
    <mergeCell ref="G27:I27"/>
    <mergeCell ref="J27:K27"/>
    <mergeCell ref="L27:M27"/>
    <mergeCell ref="G28:I28"/>
    <mergeCell ref="J28:K28"/>
    <mergeCell ref="L28:M28"/>
    <mergeCell ref="G29:I29"/>
    <mergeCell ref="J29:K29"/>
    <mergeCell ref="L29:M29"/>
    <mergeCell ref="G30:I30"/>
    <mergeCell ref="J30:K30"/>
    <mergeCell ref="L30:M30"/>
    <mergeCell ref="G31:I31"/>
    <mergeCell ref="J31:K31"/>
    <mergeCell ref="L31:M31"/>
    <mergeCell ref="G32:I32"/>
    <mergeCell ref="J32:K32"/>
    <mergeCell ref="L32:M32"/>
    <mergeCell ref="G33:I33"/>
    <mergeCell ref="J33:K33"/>
    <mergeCell ref="L33:M33"/>
    <mergeCell ref="G34:I34"/>
    <mergeCell ref="J34:K34"/>
    <mergeCell ref="L34:M34"/>
    <mergeCell ref="G35:I35"/>
    <mergeCell ref="J35:K35"/>
    <mergeCell ref="L35:M35"/>
    <mergeCell ref="G36:I36"/>
    <mergeCell ref="J36:K36"/>
    <mergeCell ref="L36:M36"/>
    <mergeCell ref="G37:I37"/>
    <mergeCell ref="J37:K37"/>
    <mergeCell ref="L37:M37"/>
    <mergeCell ref="G38:I38"/>
    <mergeCell ref="J38:K38"/>
    <mergeCell ref="L38:M38"/>
    <mergeCell ref="G39:I39"/>
    <mergeCell ref="J39:K39"/>
    <mergeCell ref="L39:M39"/>
    <mergeCell ref="G40:I40"/>
    <mergeCell ref="J40:K40"/>
    <mergeCell ref="L40:M40"/>
    <mergeCell ref="A45:B45"/>
    <mergeCell ref="D45:E45"/>
    <mergeCell ref="F45:K45"/>
    <mergeCell ref="G41:I41"/>
    <mergeCell ref="J41:K41"/>
    <mergeCell ref="L41:M41"/>
    <mergeCell ref="A44:B44"/>
    <mergeCell ref="D44:E44"/>
    <mergeCell ref="F44:K44"/>
  </mergeCells>
  <pageMargins left="0.49" right="0.39" top="0.2" bottom="0.16" header="0.16" footer="0.16"/>
  <pageSetup paperSize="9" scale="76" orientation="portrait" horizontalDpi="300" verticalDpi="300"/>
  <headerFooter/>
  <rowBreaks count="1" manualBreakCount="1">
    <brk id="48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 RÁC NGUY HẠI THUẬN THÀNH</vt:lpstr>
      <vt:lpstr>'BB RÁC NGUY HẠI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2025-02-11T07:28:01Z</cp:lastPrinted>
  <dcterms:created xsi:type="dcterms:W3CDTF">2025-02-11T07:26:28Z</dcterms:created>
  <dcterms:modified xsi:type="dcterms:W3CDTF">2025-02-11T08:10:52Z</dcterms:modified>
</cp:coreProperties>
</file>